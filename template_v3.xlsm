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pollard/projects/comet/COMET-Farm/"/>
    </mc:Choice>
  </mc:AlternateContent>
  <xr:revisionPtr revIDLastSave="0" documentId="13_ncr:1_{A2AD3059-7F11-DB42-A40E-55151E50BDB3}" xr6:coauthVersionLast="45" xr6:coauthVersionMax="45" xr10:uidLastSave="{00000000-0000-0000-0000-000000000000}"/>
  <bookViews>
    <workbookView xWindow="0" yWindow="460" windowWidth="33600" windowHeight="20540" xr2:uid="{5384504D-6727-334D-8532-C0C118A2956A}"/>
  </bookViews>
  <sheets>
    <sheet name="scenario" sheetId="1" r:id="rId1"/>
    <sheet name="YN" sheetId="15" r:id="rId2"/>
    <sheet name="eep" sheetId="13" r:id="rId3"/>
    <sheet name="pre1980" sheetId="6" r:id="rId4"/>
    <sheet name="yr80" sheetId="7" r:id="rId5"/>
    <sheet name="yesno" sheetId="2" r:id="rId6"/>
    <sheet name="crops" sheetId="3" r:id="rId7"/>
    <sheet name="covercrops" sheetId="4" r:id="rId8"/>
    <sheet name="treesvines" sheetId="5" r:id="rId9"/>
    <sheet name="TF" sheetId="16" r:id="rId10"/>
    <sheet name="binary" sheetId="9" r:id="rId11"/>
    <sheet name="tillagetype" sheetId="10" r:id="rId12"/>
    <sheet name="napplicationtype" sheetId="11" r:id="rId13"/>
    <sheet name="napplicationmethod" sheetId="12" r:id="rId14"/>
    <sheet name="tillage" sheetId="8" r:id="rId15"/>
    <sheet name="CRP" sheetId="14" r:id="rId16"/>
  </sheets>
  <externalReferences>
    <externalReference r:id="rId17"/>
  </externalReferences>
  <definedNames>
    <definedName name="Crops">[1]Units!$A$2:$A$34</definedName>
    <definedName name="No">yesno!$A$1:$A$4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9" i="1" l="1"/>
  <c r="N55" i="1"/>
  <c r="N51" i="1"/>
  <c r="N47" i="1"/>
  <c r="N43" i="1"/>
  <c r="N39" i="1"/>
  <c r="N35" i="1"/>
  <c r="N31" i="1"/>
  <c r="N27" i="1"/>
  <c r="N23" i="1"/>
  <c r="F22" i="1" l="1"/>
  <c r="F24" i="1"/>
  <c r="F26" i="1"/>
  <c r="F28" i="1"/>
  <c r="F32" i="1"/>
  <c r="F34" i="1"/>
  <c r="F36" i="1"/>
  <c r="F38" i="1"/>
  <c r="F40" i="1"/>
  <c r="F42" i="1"/>
  <c r="F44" i="1"/>
  <c r="F46" i="1"/>
  <c r="F48" i="1"/>
  <c r="F50" i="1"/>
  <c r="F52" i="1"/>
  <c r="F54" i="1"/>
  <c r="F56" i="1"/>
  <c r="F58" i="1"/>
  <c r="F60" i="1"/>
  <c r="F30" i="1"/>
  <c r="D22" i="1"/>
  <c r="D24" i="1"/>
  <c r="D26" i="1"/>
  <c r="D28" i="1"/>
  <c r="D30" i="1"/>
  <c r="D32" i="1"/>
  <c r="D34" i="1"/>
  <c r="D36" i="1"/>
  <c r="D38" i="1"/>
  <c r="D40" i="1"/>
  <c r="D42" i="1"/>
  <c r="D44" i="1"/>
  <c r="D46" i="1"/>
  <c r="D48" i="1"/>
  <c r="D50" i="1"/>
  <c r="D52" i="1"/>
  <c r="D54" i="1"/>
  <c r="D56" i="1"/>
  <c r="D58" i="1"/>
  <c r="D60" i="1"/>
  <c r="F84" i="1" l="1"/>
  <c r="F82" i="1"/>
  <c r="F80" i="1"/>
  <c r="F78" i="1"/>
  <c r="F76" i="1"/>
  <c r="F74" i="1"/>
  <c r="F72" i="1"/>
  <c r="F70" i="1"/>
  <c r="F68" i="1"/>
  <c r="F66" i="1"/>
  <c r="D84" i="1"/>
  <c r="D82" i="1"/>
  <c r="D78" i="1"/>
  <c r="D80" i="1"/>
  <c r="D76" i="1"/>
  <c r="D74" i="1"/>
  <c r="D72" i="1"/>
  <c r="D70" i="1"/>
  <c r="D68" i="1"/>
  <c r="D66" i="1"/>
  <c r="C84" i="1"/>
  <c r="C82" i="1"/>
  <c r="C80" i="1"/>
  <c r="C78" i="1"/>
  <c r="C76" i="1"/>
  <c r="C74" i="1"/>
  <c r="C72" i="1"/>
  <c r="C70" i="1"/>
  <c r="C68" i="1"/>
  <c r="C66" i="1"/>
  <c r="B84" i="1"/>
  <c r="B82" i="1"/>
  <c r="B80" i="1"/>
  <c r="B78" i="1"/>
  <c r="B76" i="1"/>
  <c r="B74" i="1"/>
  <c r="B72" i="1"/>
  <c r="B70" i="1"/>
  <c r="B68" i="1"/>
  <c r="B66" i="1"/>
  <c r="B22" i="1"/>
  <c r="C22" i="1" l="1"/>
  <c r="B60" i="1"/>
  <c r="C60" i="1"/>
  <c r="B58" i="1"/>
  <c r="B56" i="1"/>
  <c r="B54" i="1"/>
  <c r="B52" i="1"/>
  <c r="B50" i="1"/>
  <c r="B48" i="1"/>
  <c r="B46" i="1"/>
  <c r="B44" i="1"/>
  <c r="B42" i="1"/>
  <c r="B40" i="1"/>
  <c r="B38" i="1"/>
  <c r="B36" i="1"/>
  <c r="B34" i="1"/>
  <c r="B32" i="1"/>
  <c r="B30" i="1"/>
  <c r="B28" i="1"/>
  <c r="B26" i="1"/>
  <c r="B24" i="1"/>
  <c r="C58" i="1"/>
  <c r="C56" i="1"/>
  <c r="C54" i="1"/>
  <c r="C52" i="1"/>
  <c r="C50" i="1"/>
  <c r="C48" i="1"/>
  <c r="C46" i="1"/>
  <c r="C44" i="1"/>
  <c r="C42" i="1"/>
  <c r="C40" i="1"/>
  <c r="C38" i="1"/>
  <c r="C36" i="1"/>
  <c r="C34" i="1"/>
  <c r="C32" i="1"/>
  <c r="C30" i="1"/>
  <c r="C28" i="1"/>
  <c r="C26" i="1"/>
  <c r="C24" i="1"/>
  <c r="E67" i="1" l="1"/>
  <c r="E69" i="1"/>
  <c r="E71" i="1"/>
  <c r="E73" i="1"/>
  <c r="E75" i="1"/>
  <c r="E77" i="1"/>
  <c r="E79" i="1"/>
  <c r="E81" i="1"/>
  <c r="E83" i="1"/>
  <c r="E65" i="1"/>
  <c r="E23" i="1"/>
  <c r="E25" i="1"/>
  <c r="E27" i="1"/>
  <c r="E29" i="1"/>
  <c r="E31" i="1"/>
  <c r="E33" i="1"/>
  <c r="E35" i="1"/>
  <c r="E37" i="1"/>
  <c r="E39" i="1"/>
  <c r="E41" i="1"/>
  <c r="E43" i="1"/>
  <c r="E45" i="1"/>
  <c r="E47" i="1"/>
  <c r="E49" i="1"/>
  <c r="E51" i="1"/>
  <c r="E53" i="1"/>
  <c r="E55" i="1"/>
  <c r="E57" i="1"/>
  <c r="E59" i="1"/>
  <c r="E21" i="1"/>
  <c r="H23" i="1"/>
  <c r="H83" i="1"/>
  <c r="H79" i="1"/>
  <c r="H75" i="1"/>
  <c r="H71" i="1"/>
  <c r="H67" i="1"/>
  <c r="H59" i="1"/>
  <c r="H55" i="1"/>
  <c r="H51" i="1"/>
  <c r="H47" i="1"/>
  <c r="H43" i="1"/>
  <c r="H39" i="1"/>
  <c r="H35" i="1"/>
  <c r="H31" i="1"/>
  <c r="H27" i="1"/>
  <c r="C23" i="1"/>
  <c r="P67" i="1"/>
  <c r="P69" i="1"/>
  <c r="P71" i="1"/>
  <c r="P73" i="1"/>
  <c r="P75" i="1"/>
  <c r="P77" i="1"/>
  <c r="P79" i="1"/>
  <c r="P81" i="1"/>
  <c r="P83" i="1"/>
  <c r="P65" i="1"/>
  <c r="P21" i="1"/>
  <c r="P23" i="1"/>
  <c r="P25" i="1"/>
  <c r="P27" i="1"/>
  <c r="P29" i="1"/>
  <c r="P31" i="1"/>
  <c r="P33" i="1"/>
  <c r="P35" i="1"/>
  <c r="P37" i="1"/>
  <c r="P39" i="1"/>
  <c r="P41" i="1"/>
  <c r="P43" i="1"/>
  <c r="P45" i="1"/>
  <c r="P47" i="1"/>
  <c r="P49" i="1"/>
  <c r="P51" i="1"/>
  <c r="P53" i="1"/>
  <c r="P55" i="1"/>
  <c r="P57" i="1"/>
  <c r="P59" i="1"/>
  <c r="N83" i="1"/>
  <c r="N79" i="1"/>
  <c r="N75" i="1"/>
  <c r="N71" i="1"/>
  <c r="N67" i="1"/>
  <c r="N69" i="1"/>
  <c r="N73" i="1"/>
  <c r="N77" i="1"/>
  <c r="N81" i="1"/>
  <c r="N65" i="1"/>
  <c r="N25" i="1"/>
  <c r="N29" i="1"/>
  <c r="N33" i="1"/>
  <c r="N37" i="1"/>
  <c r="N41" i="1"/>
  <c r="N45" i="1"/>
  <c r="N49" i="1"/>
  <c r="N53" i="1"/>
  <c r="N57" i="1"/>
  <c r="N21" i="1"/>
  <c r="L67" i="1"/>
  <c r="L69" i="1"/>
  <c r="L71" i="1"/>
  <c r="L73" i="1"/>
  <c r="L75" i="1"/>
  <c r="L77" i="1"/>
  <c r="L79" i="1"/>
  <c r="L81" i="1"/>
  <c r="L83" i="1"/>
  <c r="L65" i="1"/>
  <c r="L23" i="1"/>
  <c r="L25" i="1"/>
  <c r="L27" i="1"/>
  <c r="L29" i="1"/>
  <c r="L31" i="1"/>
  <c r="L33" i="1"/>
  <c r="L35" i="1"/>
  <c r="L37" i="1"/>
  <c r="L39" i="1"/>
  <c r="L41" i="1"/>
  <c r="L43" i="1"/>
  <c r="L45" i="1"/>
  <c r="L47" i="1"/>
  <c r="L49" i="1"/>
  <c r="L51" i="1"/>
  <c r="L53" i="1"/>
  <c r="L55" i="1"/>
  <c r="L57" i="1"/>
  <c r="L59" i="1"/>
  <c r="L21" i="1"/>
  <c r="J81" i="1"/>
  <c r="J77" i="1"/>
  <c r="J73" i="1"/>
  <c r="J69" i="1"/>
  <c r="J65" i="1"/>
  <c r="J83" i="1"/>
  <c r="J79" i="1"/>
  <c r="J75" i="1"/>
  <c r="J71" i="1"/>
  <c r="J67" i="1"/>
  <c r="J59" i="1"/>
  <c r="J55" i="1"/>
  <c r="J51" i="1"/>
  <c r="J47" i="1"/>
  <c r="J43" i="1"/>
  <c r="J39" i="1"/>
  <c r="J35" i="1"/>
  <c r="J31" i="1"/>
  <c r="J27" i="1"/>
  <c r="J23" i="1"/>
  <c r="C83" i="1"/>
  <c r="C79" i="1"/>
  <c r="C75" i="1"/>
  <c r="C71" i="1"/>
  <c r="C67" i="1"/>
  <c r="C59" i="1"/>
  <c r="C55" i="1"/>
  <c r="C51" i="1"/>
  <c r="C47" i="1"/>
  <c r="C43" i="1"/>
  <c r="C39" i="1"/>
  <c r="C35" i="1"/>
  <c r="C31" i="1"/>
  <c r="C27" i="1"/>
  <c r="C25" i="1"/>
  <c r="C29" i="1"/>
  <c r="C33" i="1"/>
  <c r="C37" i="1"/>
  <c r="C41" i="1"/>
  <c r="C45" i="1"/>
  <c r="C49" i="1"/>
  <c r="C53" i="1"/>
  <c r="C57" i="1"/>
  <c r="C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92" authorId="0" shapeId="0" xr:uid="{2E135710-60BB-1745-B52B-3B4F61DF7101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Conservation Reserve Program</t>
        </r>
      </text>
    </comment>
  </commentList>
</comments>
</file>

<file path=xl/sharedStrings.xml><?xml version="1.0" encoding="utf-8"?>
<sst xmlns="http://schemas.openxmlformats.org/spreadsheetml/2006/main" count="479" uniqueCount="277">
  <si>
    <t>Yes</t>
  </si>
  <si>
    <t>No</t>
  </si>
  <si>
    <t>Alfalfa</t>
  </si>
  <si>
    <t>Barley</t>
  </si>
  <si>
    <t>Broccoli-Coast</t>
  </si>
  <si>
    <t>Broccoli-Desert</t>
  </si>
  <si>
    <t>Cauliflower</t>
  </si>
  <si>
    <t>Clover</t>
  </si>
  <si>
    <t>Corn</t>
  </si>
  <si>
    <t>Corn Silage</t>
  </si>
  <si>
    <t>Cotton</t>
  </si>
  <si>
    <t>Dry Field Beans</t>
  </si>
  <si>
    <t>Fallow</t>
  </si>
  <si>
    <t>Grass</t>
  </si>
  <si>
    <t>Grass-Legume Mix</t>
  </si>
  <si>
    <t>Lettuce-Head</t>
  </si>
  <si>
    <t>Lettuce-Romaine</t>
  </si>
  <si>
    <t>Lettuce-Leaf</t>
  </si>
  <si>
    <t>Millet</t>
  </si>
  <si>
    <t>Oats</t>
  </si>
  <si>
    <t>Peanut</t>
  </si>
  <si>
    <t>Potato</t>
  </si>
  <si>
    <t>Rice - Flooded</t>
  </si>
  <si>
    <t>Rye</t>
  </si>
  <si>
    <t>Sorghum</t>
  </si>
  <si>
    <t>Sorghum Silage</t>
  </si>
  <si>
    <t>Soybean</t>
  </si>
  <si>
    <t>Spring Wheat</t>
  </si>
  <si>
    <t>Strawberry</t>
  </si>
  <si>
    <t>Sugar Beets</t>
  </si>
  <si>
    <t>Sunflower</t>
  </si>
  <si>
    <t>Switchgrass</t>
  </si>
  <si>
    <t>Tomatoes, Fresh</t>
  </si>
  <si>
    <t>Tomatoes, Processing</t>
  </si>
  <si>
    <t>Winter Wheat</t>
  </si>
  <si>
    <t>yield unit</t>
  </si>
  <si>
    <t>crop</t>
  </si>
  <si>
    <t>tons/ac</t>
  </si>
  <si>
    <t>bu/ac</t>
  </si>
  <si>
    <t>cwt/ac</t>
  </si>
  <si>
    <t>lbs/ac</t>
  </si>
  <si>
    <t>Cover Crops</t>
  </si>
  <si>
    <t>Annual Rye - Legume - Radish</t>
  </si>
  <si>
    <t>Annual Rye</t>
  </si>
  <si>
    <t>Cereal Rye</t>
  </si>
  <si>
    <t>Forage Radish</t>
  </si>
  <si>
    <t>Oilseed Radish</t>
  </si>
  <si>
    <t>Winter Grain-Other</t>
  </si>
  <si>
    <t>Vetch</t>
  </si>
  <si>
    <t>Trees/Vines</t>
  </si>
  <si>
    <t>Almond</t>
  </si>
  <si>
    <t>Grape, Raisin</t>
  </si>
  <si>
    <t>Grape, Table</t>
  </si>
  <si>
    <t>Grape, Wine (&lt;1390 GDD)</t>
  </si>
  <si>
    <t>Grape, Wine (1391-1670 GDD)</t>
  </si>
  <si>
    <t>Grape, Wine (1671-1950 GDD)</t>
  </si>
  <si>
    <t>Grape, Wine (&gt;1950 GDD)</t>
  </si>
  <si>
    <t>Grapefruit</t>
  </si>
  <si>
    <t>Lemons &amp; Limes</t>
  </si>
  <si>
    <t>Oranges</t>
  </si>
  <si>
    <t>Pistachio</t>
  </si>
  <si>
    <t>Tangerines &amp; Mandarins</t>
  </si>
  <si>
    <t>English Walnuts</t>
  </si>
  <si>
    <t>Email</t>
  </si>
  <si>
    <t>dpollard@ecotrust.org</t>
  </si>
  <si>
    <t>CRP</t>
  </si>
  <si>
    <t>GEOM</t>
  </si>
  <si>
    <t>pre_80</t>
  </si>
  <si>
    <t>till80_200</t>
  </si>
  <si>
    <t>yr80_2000</t>
  </si>
  <si>
    <t>crop_scenario_name</t>
  </si>
  <si>
    <t>CROP_NUMBER</t>
  </si>
  <si>
    <t>Ccop_name</t>
  </si>
  <si>
    <t>planting_date</t>
  </si>
  <si>
    <t>continue_from_previous_year</t>
  </si>
  <si>
    <t>harvest_date</t>
  </si>
  <si>
    <t>grain</t>
  </si>
  <si>
    <t>yield</t>
  </si>
  <si>
    <t>straw_stover_hay_removal</t>
  </si>
  <si>
    <t>tillage_date</t>
  </si>
  <si>
    <t>tillage_type</t>
  </si>
  <si>
    <t>n_application_date</t>
  </si>
  <si>
    <t>n_application_type</t>
  </si>
  <si>
    <t>Irrigation (Pre 1980s)</t>
  </si>
  <si>
    <t> Livestock Grazing</t>
  </si>
  <si>
    <t> Lowland Non-Irrigated Pre-1980s</t>
  </si>
  <si>
    <t> Upland Non-irrigated Pre-1980s</t>
  </si>
  <si>
    <t>Irrigated: Annual Crops in Rotation</t>
  </si>
  <si>
    <t>Irrigated: Continuous Hay</t>
  </si>
  <si>
    <t>Irrigated: Orchard or Vineyard</t>
  </si>
  <si>
    <t>Irrigated: Annual Crops with Hay/Pasture in Rotation</t>
  </si>
  <si>
    <t>Non-Irrigated: Annual Crops in Rotation</t>
  </si>
  <si>
    <t>Non-Irrigated: Continuous Hay</t>
  </si>
  <si>
    <t>Non-Irrigated: Livestock Grazing</t>
  </si>
  <si>
    <t>Non-Irrigated: Fallow-Grain</t>
  </si>
  <si>
    <t>Non-Irrigated: Orchard or Vineyard</t>
  </si>
  <si>
    <t>Intensive Tillage</t>
  </si>
  <si>
    <t>Reduced Tillage</t>
  </si>
  <si>
    <t>No Till</t>
  </si>
  <si>
    <t>"1"</t>
  </si>
  <si>
    <t>"2"</t>
  </si>
  <si>
    <t>Broad-spectrum herbicide</t>
  </si>
  <si>
    <t>Crimp</t>
  </si>
  <si>
    <t>Mow</t>
  </si>
  <si>
    <t>Mulch Tillage</t>
  </si>
  <si>
    <t>Ridge Tillage</t>
  </si>
  <si>
    <t>Strip Tillage</t>
  </si>
  <si>
    <t>No Tillage</t>
  </si>
  <si>
    <t>Growing Season Cultivation</t>
  </si>
  <si>
    <t>Ammonium Nitrate</t>
  </si>
  <si>
    <t>Anhydrous Ammonia</t>
  </si>
  <si>
    <t>Ammonium Sulfate</t>
  </si>
  <si>
    <t>Urea</t>
  </si>
  <si>
    <t>UAN</t>
  </si>
  <si>
    <t>Compost</t>
  </si>
  <si>
    <t>Mixed Blends</t>
  </si>
  <si>
    <t>Mono-Ammonium Phosphate</t>
  </si>
  <si>
    <t>Di-Ammonium Phosphate</t>
  </si>
  <si>
    <t>id</t>
  </si>
  <si>
    <t>AREA</t>
  </si>
  <si>
    <t>SRID</t>
  </si>
  <si>
    <t>None</t>
  </si>
  <si>
    <t>CRPType</t>
  </si>
  <si>
    <t>Surface Broadcast</t>
  </si>
  <si>
    <t>Surface Band / Sidedress</t>
  </si>
  <si>
    <t>Incorporate / Inject</t>
  </si>
  <si>
    <t>Fertigation</t>
  </si>
  <si>
    <t>Aerial Application</t>
  </si>
  <si>
    <t>n_application_method</t>
  </si>
  <si>
    <t>n_application_amount</t>
  </si>
  <si>
    <t>eep</t>
  </si>
  <si>
    <t>Slow Release</t>
  </si>
  <si>
    <t>Nitrification Inhibitor</t>
  </si>
  <si>
    <t>did_you_burn_residue</t>
  </si>
  <si>
    <t>Year</t>
  </si>
  <si>
    <t>Yes, 100% Grass</t>
  </si>
  <si>
    <t>Yes, Grain or Legume Mix</t>
  </si>
  <si>
    <t>"01/01/2000"</t>
  </si>
  <si>
    <t>"01/01/2001"</t>
  </si>
  <si>
    <t>"01/01/2002"</t>
  </si>
  <si>
    <t>"01/01/2003"</t>
  </si>
  <si>
    <t>"01/01/2004"</t>
  </si>
  <si>
    <t>"01/01/2005"</t>
  </si>
  <si>
    <t>"01/01/2006"</t>
  </si>
  <si>
    <t>"01/01/2007"</t>
  </si>
  <si>
    <t>"01/01/2008"</t>
  </si>
  <si>
    <t>"01/01/2009"</t>
  </si>
  <si>
    <t>"01/01/2010"</t>
  </si>
  <si>
    <t>"01/01/2011"</t>
  </si>
  <si>
    <t>"01/01/2012"</t>
  </si>
  <si>
    <t>"01/01/2013"</t>
  </si>
  <si>
    <t>"01/01/2014"</t>
  </si>
  <si>
    <t>"01/01/2015"</t>
  </si>
  <si>
    <t>"01/01/2016"</t>
  </si>
  <si>
    <t>"01/01/2017"</t>
  </si>
  <si>
    <t>"01/01/2018"</t>
  </si>
  <si>
    <t>"01/01/2019"</t>
  </si>
  <si>
    <t>"01/01/2020"</t>
  </si>
  <si>
    <t>"01/01/2021"</t>
  </si>
  <si>
    <t>"01/01/2022"</t>
  </si>
  <si>
    <t>"01/01/2023"</t>
  </si>
  <si>
    <t>"01/01/2024"</t>
  </si>
  <si>
    <t>"01/01/2025"</t>
  </si>
  <si>
    <t>"01/01/2026"</t>
  </si>
  <si>
    <t>"01/01/2027"</t>
  </si>
  <si>
    <t>"01/01/2028"</t>
  </si>
  <si>
    <t>"01/01/2029"</t>
  </si>
  <si>
    <t>N</t>
  </si>
  <si>
    <t>Y</t>
  </si>
  <si>
    <t>"10/01/2000"</t>
  </si>
  <si>
    <t>"10/01/2001"</t>
  </si>
  <si>
    <t>"10/01/2002"</t>
  </si>
  <si>
    <t>"10/01/2003"</t>
  </si>
  <si>
    <t>"10/01/2004"</t>
  </si>
  <si>
    <t>"10/01/2005"</t>
  </si>
  <si>
    <t>"10/01/2008"</t>
  </si>
  <si>
    <t>"10/01/2007"</t>
  </si>
  <si>
    <t>"10/01/2006"</t>
  </si>
  <si>
    <t>"10/01/2009"</t>
  </si>
  <si>
    <t>"10/01/2010"</t>
  </si>
  <si>
    <t>"10/01/2011"</t>
  </si>
  <si>
    <t>"10/01/2012"</t>
  </si>
  <si>
    <t>"10/01/2013"</t>
  </si>
  <si>
    <t>"10/01/2014"</t>
  </si>
  <si>
    <t>"10/01/2015"</t>
  </si>
  <si>
    <t>"10/01/2016"</t>
  </si>
  <si>
    <t>"10/01/2017"</t>
  </si>
  <si>
    <t>"10/01/2018"</t>
  </si>
  <si>
    <t>"10/01/2019"</t>
  </si>
  <si>
    <t>"10/01/2020"</t>
  </si>
  <si>
    <t>"10/01/2021"</t>
  </si>
  <si>
    <t>"10/01/2022"</t>
  </si>
  <si>
    <t>"10/01/2023"</t>
  </si>
  <si>
    <t>"10/01/2024"</t>
  </si>
  <si>
    <t>"10/01/2025"</t>
  </si>
  <si>
    <t>"10/01/2026"</t>
  </si>
  <si>
    <t>"10/01/2027"</t>
  </si>
  <si>
    <t>"10/01/2028"</t>
  </si>
  <si>
    <t>"10/01/2029"</t>
  </si>
  <si>
    <t>"05/01/2000"</t>
  </si>
  <si>
    <t>"05/01/2001"</t>
  </si>
  <si>
    <t>"05/01/2002"</t>
  </si>
  <si>
    <t>"05/01/2003"</t>
  </si>
  <si>
    <t>"05/01/2004"</t>
  </si>
  <si>
    <t>"05/01/2005"</t>
  </si>
  <si>
    <t>"05/01/2006"</t>
  </si>
  <si>
    <t>"05/01/2007"</t>
  </si>
  <si>
    <t>"05/01/2008"</t>
  </si>
  <si>
    <t>"05/01/2009"</t>
  </si>
  <si>
    <t>"05/01/2010"</t>
  </si>
  <si>
    <t>"05/01/2011"</t>
  </si>
  <si>
    <t>"05/01/2012"</t>
  </si>
  <si>
    <t>"05/01/2013"</t>
  </si>
  <si>
    <t>"05/01/2014"</t>
  </si>
  <si>
    <t>"05/01/2015"</t>
  </si>
  <si>
    <t>"05/01/2016"</t>
  </si>
  <si>
    <t>"05/01/2017"</t>
  </si>
  <si>
    <t>"05/01/2018"</t>
  </si>
  <si>
    <t>"05/01/2019"</t>
  </si>
  <si>
    <t>"05/01/2021"</t>
  </si>
  <si>
    <t>"05/01/2020"</t>
  </si>
  <si>
    <t>"05/01/2022"</t>
  </si>
  <si>
    <t>"05/01/2023"</t>
  </si>
  <si>
    <t>"05/01/2024"</t>
  </si>
  <si>
    <t>"05/01/2025"</t>
  </si>
  <si>
    <t>"05/01/2026"</t>
  </si>
  <si>
    <t>"05/01/2027"</t>
  </si>
  <si>
    <t>"05/01/2028"</t>
  </si>
  <si>
    <t>"05/01/2029"</t>
  </si>
  <si>
    <t>"05/09/2000"</t>
  </si>
  <si>
    <t>"05/09/2001"</t>
  </si>
  <si>
    <t>"05/09/2002"</t>
  </si>
  <si>
    <t>"05/09/2003"</t>
  </si>
  <si>
    <t>"05/09/2004"</t>
  </si>
  <si>
    <t>"05/09/2005"</t>
  </si>
  <si>
    <t>"05/09/2006"</t>
  </si>
  <si>
    <t>"05/09/2007"</t>
  </si>
  <si>
    <t>"05/09/2008"</t>
  </si>
  <si>
    <t>"05/09/2009"</t>
  </si>
  <si>
    <t>"05/09/2010"</t>
  </si>
  <si>
    <t>"05/09/2011"</t>
  </si>
  <si>
    <t>"05/09/2012"</t>
  </si>
  <si>
    <t>"05/09/2013"</t>
  </si>
  <si>
    <t>"05/09/2014"</t>
  </si>
  <si>
    <t>"05/09/2015"</t>
  </si>
  <si>
    <t>"05/09/2016"</t>
  </si>
  <si>
    <t>"05/09/2017"</t>
  </si>
  <si>
    <t>"05/09/2018"</t>
  </si>
  <si>
    <t>"05/09/2019"</t>
  </si>
  <si>
    <t>"05/09/2020"</t>
  </si>
  <si>
    <t>"05/09/2021"</t>
  </si>
  <si>
    <t>"05/09/2022"</t>
  </si>
  <si>
    <t>"05/09/2023"</t>
  </si>
  <si>
    <t>"05/09/2024"</t>
  </si>
  <si>
    <t>"05/09/2025"</t>
  </si>
  <si>
    <t>"05/09/2026"</t>
  </si>
  <si>
    <t>"05/09/2027"</t>
  </si>
  <si>
    <t>"05/09/2028"</t>
  </si>
  <si>
    <t>"05/09/2029"</t>
  </si>
  <si>
    <t>Current Scenario</t>
  </si>
  <si>
    <t>future_scenario_a</t>
  </si>
  <si>
    <t>current_scenario</t>
  </si>
  <si>
    <t>test</t>
  </si>
  <si>
    <t>barley - no till</t>
  </si>
  <si>
    <t>Scenario Name</t>
  </si>
  <si>
    <t>Crop</t>
  </si>
  <si>
    <t>Cover crop</t>
  </si>
  <si>
    <t>Rotate fallow</t>
  </si>
  <si>
    <t>Tillage type</t>
  </si>
  <si>
    <t>N_application type</t>
  </si>
  <si>
    <t>N_application amount</t>
  </si>
  <si>
    <t>NA</t>
  </si>
  <si>
    <t>Conservation scenario definitions</t>
  </si>
  <si>
    <t>Baseline definitions</t>
  </si>
  <si>
    <t>N_application_method</t>
  </si>
  <si>
    <t>Add Name</t>
  </si>
  <si>
    <t>crop_number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</si>
</sst>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Calibri"/>
      <family val="2"/>
      <scheme val="minor"/>
    </font>
    <font>
      <sz val="12"/>
      <color rgb="FF24292E"/>
      <name val="Calibri"/>
      <family val="2"/>
      <scheme val="minor"/>
    </font>
    <font>
      <sz val="11"/>
      <color rgb="FF2A2C2C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3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 tint="0.499984740745262"/>
      <name val="Calibri (Body)"/>
    </font>
    <font>
      <sz val="11"/>
      <color theme="1" tint="0.499984740745262"/>
      <name val="Calibri (Body)"/>
    </font>
    <font>
      <b/>
      <sz val="13"/>
      <color theme="1" tint="0.499984740745262"/>
      <name val="Calibri (Body)"/>
    </font>
    <font>
      <b/>
      <sz val="12"/>
      <color theme="1" tint="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252525"/>
      <name val="Open Sans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" xfId="0" applyBorder="1"/>
    <xf numFmtId="0" fontId="3" fillId="0" borderId="0" xfId="0" applyFont="1"/>
    <xf numFmtId="0" fontId="0" fillId="0" borderId="0" xfId="0" applyFill="1" applyAlignment="1" applyProtection="1">
      <alignment vertical="center"/>
      <protection locked="0"/>
    </xf>
    <xf numFmtId="0" fontId="15" fillId="0" borderId="0" xfId="1" applyFill="1" applyAlignment="1" applyProtection="1">
      <alignment vertical="center"/>
      <protection locked="0"/>
    </xf>
    <xf numFmtId="0" fontId="5" fillId="0" borderId="0" xfId="0" applyFont="1"/>
    <xf numFmtId="0" fontId="0" fillId="0" borderId="0" xfId="0" quotePrefix="1" applyFill="1" applyAlignment="1" applyProtection="1">
      <alignment vertical="center"/>
      <protection locked="0"/>
    </xf>
    <xf numFmtId="0" fontId="6" fillId="2" borderId="2" xfId="0" applyFont="1" applyFill="1" applyBorder="1" applyAlignment="1" applyProtection="1">
      <alignment horizontal="left" vertical="center"/>
      <protection locked="0"/>
    </xf>
    <xf numFmtId="0" fontId="4" fillId="0" borderId="0" xfId="0" applyFont="1" applyFill="1"/>
    <xf numFmtId="0" fontId="11" fillId="0" borderId="3" xfId="0" applyFont="1" applyFill="1" applyBorder="1" applyAlignment="1" applyProtection="1">
      <alignment vertical="center"/>
      <protection locked="0"/>
    </xf>
    <xf numFmtId="0" fontId="11" fillId="0" borderId="3" xfId="0" applyFont="1" applyBorder="1" applyAlignment="1" applyProtection="1">
      <alignment vertical="center"/>
      <protection locked="0"/>
    </xf>
    <xf numFmtId="0" fontId="0" fillId="2" borderId="3" xfId="0" applyFill="1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locked="0"/>
    </xf>
    <xf numFmtId="0" fontId="9" fillId="2" borderId="0" xfId="0" applyFont="1" applyFill="1" applyBorder="1" applyAlignment="1" applyProtection="1">
      <alignment vertical="center"/>
      <protection locked="0"/>
    </xf>
    <xf numFmtId="0" fontId="10" fillId="2" borderId="0" xfId="0" applyFont="1" applyFill="1" applyBorder="1" applyAlignment="1" applyProtection="1">
      <alignment vertical="center"/>
      <protection locked="0"/>
    </xf>
    <xf numFmtId="0" fontId="13" fillId="2" borderId="3" xfId="0" applyFont="1" applyFill="1" applyBorder="1" applyAlignment="1" applyProtection="1">
      <alignment vertical="center"/>
      <protection locked="0"/>
    </xf>
    <xf numFmtId="0" fontId="14" fillId="3" borderId="2" xfId="0" applyFont="1" applyFill="1" applyBorder="1" applyAlignment="1" applyProtection="1">
      <alignment horizontal="left" vertical="center"/>
      <protection locked="0"/>
    </xf>
    <xf numFmtId="0" fontId="14" fillId="3" borderId="2" xfId="0" applyFont="1" applyFill="1" applyBorder="1" applyAlignment="1">
      <alignment horizontal="left" vertical="center"/>
    </xf>
    <xf numFmtId="0" fontId="13" fillId="4" borderId="3" xfId="0" applyFont="1" applyFill="1" applyBorder="1" applyAlignment="1" applyProtection="1">
      <alignment vertical="center"/>
      <protection locked="0"/>
    </xf>
    <xf numFmtId="0" fontId="9" fillId="4" borderId="0" xfId="0" applyFont="1" applyFill="1" applyBorder="1" applyAlignment="1" applyProtection="1">
      <alignment vertical="center"/>
      <protection locked="0"/>
    </xf>
    <xf numFmtId="0" fontId="10" fillId="4" borderId="0" xfId="0" applyFont="1" applyFill="1" applyBorder="1" applyAlignment="1" applyProtection="1">
      <alignment vertical="center"/>
      <protection locked="0"/>
    </xf>
    <xf numFmtId="0" fontId="0" fillId="4" borderId="3" xfId="0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</xf>
    <xf numFmtId="0" fontId="12" fillId="0" borderId="3" xfId="0" applyFont="1" applyBorder="1" applyAlignment="1" applyProtection="1">
      <alignment horizontal="left" vertical="center" indent="2"/>
      <protection locked="0"/>
    </xf>
    <xf numFmtId="0" fontId="0" fillId="0" borderId="0" xfId="0" applyNumberFormat="1" applyAlignment="1" applyProtection="1">
      <alignment vertical="center"/>
      <protection locked="0"/>
    </xf>
    <xf numFmtId="0" fontId="0" fillId="0" borderId="0" xfId="0" quotePrefix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15" fillId="2" borderId="3" xfId="1" applyFill="1" applyBorder="1" applyAlignment="1" applyProtection="1">
      <alignment vertical="center"/>
      <protection locked="0"/>
    </xf>
    <xf numFmtId="0" fontId="15" fillId="0" borderId="0" xfId="1" applyAlignment="1" applyProtection="1">
      <alignment vertical="center"/>
      <protection locked="0"/>
    </xf>
    <xf numFmtId="0" fontId="15" fillId="0" borderId="0" xfId="1" quotePrefix="1" applyFill="1" applyAlignment="1" applyProtection="1">
      <alignment vertical="center"/>
      <protection locked="0"/>
    </xf>
    <xf numFmtId="0" fontId="15" fillId="0" borderId="0" xfId="1"/>
    <xf numFmtId="0" fontId="16" fillId="0" borderId="0" xfId="0" applyFont="1"/>
    <xf numFmtId="0" fontId="17" fillId="0" borderId="0" xfId="0" applyFont="1" applyAlignment="1" applyProtection="1">
      <alignment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1" applyFont="1" applyFill="1" applyAlignment="1" applyProtection="1">
      <alignment vertical="center"/>
      <protection locked="0"/>
    </xf>
  </cellXfs>
  <cellStyles count="2">
    <cellStyle name="Hyperlink" xfId="1" builtinId="8" customBuiltin="1"/>
    <cellStyle name="Normal" xfId="0" builtinId="0"/>
  </cellStyles>
  <dxfs count="0"/>
  <tableStyles count="0" defaultTableStyle="TableStyleMedium2" defaultPivotStyle="PivotStyleLight16"/>
  <colors>
    <mruColors>
      <color rgb="FFEDFC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eoterra/Users/dpollard/projects/comet/COMET-Farm/comet_api_example/File%20Specification%20-%20Update_3.26.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pollard@ecotrust.org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9D4AE-FA7D-CA44-BF82-B5408D6E0BCF}">
  <sheetPr codeName="Sheet1"/>
  <dimension ref="A1:R99"/>
  <sheetViews>
    <sheetView tabSelected="1" zoomScaleNormal="100" workbookViewId="0">
      <selection activeCell="C7" sqref="C7"/>
    </sheetView>
  </sheetViews>
  <sheetFormatPr baseColWidth="10" defaultColWidth="10.83203125" defaultRowHeight="25" customHeight="1" outlineLevelRow="1"/>
  <cols>
    <col min="1" max="1" width="18.33203125" style="16" customWidth="1"/>
    <col min="2" max="2" width="24.83203125" style="4" customWidth="1"/>
    <col min="3" max="3" width="21.5" style="4" customWidth="1"/>
    <col min="4" max="4" width="12.33203125" style="4" customWidth="1"/>
    <col min="5" max="5" width="14.1640625" style="4" customWidth="1"/>
    <col min="6" max="6" width="15.1640625" style="4" customWidth="1"/>
    <col min="7" max="7" width="11.83203125" style="4" customWidth="1"/>
    <col min="8" max="8" width="11.5" style="4" customWidth="1"/>
    <col min="9" max="9" width="11" style="4" bestFit="1" customWidth="1"/>
    <col min="10" max="10" width="20.83203125" style="4" customWidth="1"/>
    <col min="11" max="11" width="10.83203125" style="4"/>
    <col min="12" max="12" width="16.83203125" style="4" customWidth="1"/>
    <col min="13" max="13" width="10.83203125" style="4"/>
    <col min="14" max="14" width="17.6640625" style="4" customWidth="1"/>
    <col min="15" max="15" width="10.83203125" style="4"/>
    <col min="16" max="16" width="21" style="4" customWidth="1"/>
    <col min="17" max="16384" width="10.83203125" style="4"/>
  </cols>
  <sheetData>
    <row r="1" spans="1:4" ht="25" customHeight="1">
      <c r="A1" s="14" t="s">
        <v>264</v>
      </c>
      <c r="B1" s="4" t="s">
        <v>275</v>
      </c>
    </row>
    <row r="2" spans="1:4" ht="25" customHeight="1">
      <c r="A2" s="14" t="s">
        <v>273</v>
      </c>
    </row>
    <row r="3" spans="1:4" ht="25" customHeight="1">
      <c r="A3" s="28" t="s">
        <v>265</v>
      </c>
      <c r="B3" s="31" t="s">
        <v>2</v>
      </c>
    </row>
    <row r="4" spans="1:4" ht="25" customHeight="1">
      <c r="A4" s="28" t="s">
        <v>266</v>
      </c>
      <c r="B4" s="31" t="s">
        <v>7</v>
      </c>
    </row>
    <row r="5" spans="1:4" ht="25" customHeight="1">
      <c r="A5" s="28" t="s">
        <v>267</v>
      </c>
      <c r="B5" s="31" t="s">
        <v>167</v>
      </c>
    </row>
    <row r="6" spans="1:4" ht="25" customHeight="1">
      <c r="A6" s="28" t="s">
        <v>268</v>
      </c>
      <c r="B6" s="32" t="s">
        <v>97</v>
      </c>
      <c r="C6" s="27"/>
    </row>
    <row r="7" spans="1:4" ht="25" customHeight="1">
      <c r="A7" s="28" t="s">
        <v>269</v>
      </c>
      <c r="B7" s="32" t="s">
        <v>109</v>
      </c>
    </row>
    <row r="8" spans="1:4" ht="25" customHeight="1">
      <c r="A8" s="28" t="s">
        <v>270</v>
      </c>
      <c r="B8" s="31">
        <v>100</v>
      </c>
    </row>
    <row r="9" spans="1:4" ht="25" customHeight="1">
      <c r="A9" s="28" t="s">
        <v>274</v>
      </c>
      <c r="B9" s="32" t="s">
        <v>123</v>
      </c>
    </row>
    <row r="10" spans="1:4" ht="25" customHeight="1">
      <c r="A10" s="14" t="s">
        <v>272</v>
      </c>
      <c r="B10" s="31"/>
    </row>
    <row r="11" spans="1:4" ht="25" customHeight="1">
      <c r="A11" s="28" t="s">
        <v>265</v>
      </c>
      <c r="B11" s="31" t="s">
        <v>3</v>
      </c>
    </row>
    <row r="12" spans="1:4" ht="25" customHeight="1">
      <c r="A12" s="28" t="s">
        <v>266</v>
      </c>
      <c r="B12" s="31" t="s">
        <v>7</v>
      </c>
    </row>
    <row r="13" spans="1:4" ht="25" customHeight="1">
      <c r="A13" s="28" t="s">
        <v>267</v>
      </c>
      <c r="B13" s="31" t="s">
        <v>167</v>
      </c>
      <c r="D13" s="29"/>
    </row>
    <row r="14" spans="1:4" ht="25" customHeight="1">
      <c r="A14" s="28" t="s">
        <v>268</v>
      </c>
      <c r="B14" s="32" t="s">
        <v>107</v>
      </c>
    </row>
    <row r="15" spans="1:4" ht="25" customHeight="1">
      <c r="A15" s="28" t="s">
        <v>269</v>
      </c>
      <c r="B15" s="32" t="s">
        <v>114</v>
      </c>
    </row>
    <row r="16" spans="1:4" ht="25" customHeight="1">
      <c r="A16" s="28" t="s">
        <v>270</v>
      </c>
      <c r="B16" s="31">
        <v>100</v>
      </c>
    </row>
    <row r="17" spans="1:18" ht="25" customHeight="1">
      <c r="A17" s="28" t="s">
        <v>274</v>
      </c>
      <c r="B17" s="32" t="s">
        <v>123</v>
      </c>
    </row>
    <row r="18" spans="1:18" ht="25" customHeight="1">
      <c r="A18" s="28"/>
      <c r="B18" s="7"/>
    </row>
    <row r="19" spans="1:18" s="19" customFormat="1" ht="25" customHeight="1">
      <c r="A19" s="20" t="s">
        <v>261</v>
      </c>
      <c r="B19" s="18" t="s">
        <v>259</v>
      </c>
    </row>
    <row r="20" spans="1:18" s="11" customFormat="1" ht="25" customHeight="1">
      <c r="A20" s="17"/>
      <c r="B20" s="21" t="s">
        <v>134</v>
      </c>
      <c r="C20" s="21" t="s">
        <v>72</v>
      </c>
      <c r="D20" s="21" t="s">
        <v>73</v>
      </c>
      <c r="E20" s="21" t="s">
        <v>74</v>
      </c>
      <c r="F20" s="21" t="s">
        <v>75</v>
      </c>
      <c r="G20" s="21" t="s">
        <v>77</v>
      </c>
      <c r="H20" s="21" t="s">
        <v>76</v>
      </c>
      <c r="I20" s="21" t="s">
        <v>78</v>
      </c>
      <c r="J20" s="21" t="s">
        <v>80</v>
      </c>
      <c r="K20" s="21" t="s">
        <v>79</v>
      </c>
      <c r="L20" s="21" t="s">
        <v>82</v>
      </c>
      <c r="M20" s="21" t="s">
        <v>81</v>
      </c>
      <c r="N20" s="22" t="s">
        <v>129</v>
      </c>
      <c r="O20" s="21" t="s">
        <v>130</v>
      </c>
      <c r="P20" s="22" t="s">
        <v>128</v>
      </c>
      <c r="Q20" s="21" t="s">
        <v>133</v>
      </c>
      <c r="R20" s="21" t="s">
        <v>276</v>
      </c>
    </row>
    <row r="21" spans="1:18" ht="25" customHeight="1">
      <c r="A21" s="15"/>
      <c r="B21" s="7">
        <v>2000</v>
      </c>
      <c r="C21" s="4" t="str">
        <f>$B$3</f>
        <v>Alfalfa</v>
      </c>
      <c r="D21" s="7" t="s">
        <v>137</v>
      </c>
      <c r="E21" s="10" t="str">
        <f>IF($B$3="ALFALFA","Y",IF($B$3="CLOVER","Y",IF($B$3="Grass","Y",IF($B$3="Switchgrass","Y","N"))))</f>
        <v>Y</v>
      </c>
      <c r="F21" s="39" t="s">
        <v>169</v>
      </c>
      <c r="G21">
        <v>60</v>
      </c>
      <c r="H21" s="10" t="b">
        <v>1</v>
      </c>
      <c r="I21" s="7">
        <v>0</v>
      </c>
      <c r="J21" s="7" t="s">
        <v>97</v>
      </c>
      <c r="K21" s="7" t="s">
        <v>199</v>
      </c>
      <c r="L21" s="7" t="str">
        <f>$B$7</f>
        <v>Ammonium Nitrate</v>
      </c>
      <c r="M21" s="7" t="s">
        <v>229</v>
      </c>
      <c r="N21" s="7">
        <f>$B$8</f>
        <v>100</v>
      </c>
      <c r="O21" s="7" t="s">
        <v>121</v>
      </c>
      <c r="P21" s="7" t="str">
        <f>$B$9</f>
        <v>Surface Broadcast</v>
      </c>
      <c r="Q21" s="10" t="s">
        <v>1</v>
      </c>
      <c r="R21" s="4">
        <v>1</v>
      </c>
    </row>
    <row r="22" spans="1:18" s="34" customFormat="1" ht="25" customHeight="1">
      <c r="A22" s="33"/>
      <c r="B22" s="4">
        <f>IF($B$4="None","",$B$21)</f>
        <v>2000</v>
      </c>
      <c r="C22" s="4" t="str">
        <f>IF($B$4="None","",$B$4)</f>
        <v>Clover</v>
      </c>
      <c r="D22" s="38" t="str">
        <f>(D21)</f>
        <v>"01/01/2000"</v>
      </c>
      <c r="E22" s="38" t="s">
        <v>167</v>
      </c>
      <c r="F22" s="41" t="str">
        <f>(F21)</f>
        <v>"10/01/2000"</v>
      </c>
      <c r="G22" s="36">
        <v>0</v>
      </c>
      <c r="H22" s="10" t="b">
        <v>1</v>
      </c>
      <c r="I22" s="7">
        <v>0</v>
      </c>
      <c r="J22" s="8"/>
      <c r="K22" s="8"/>
      <c r="L22" s="8"/>
      <c r="M22" s="8"/>
      <c r="N22" s="8"/>
      <c r="O22" s="8"/>
      <c r="P22" s="8"/>
      <c r="Q22" s="35"/>
      <c r="R22" s="34">
        <v>-2</v>
      </c>
    </row>
    <row r="23" spans="1:18" ht="25" customHeight="1">
      <c r="A23" s="15"/>
      <c r="B23" s="7">
        <v>2001</v>
      </c>
      <c r="C23" s="4" t="str">
        <f>IF($B$5="Y","Fallow",$B$3)</f>
        <v>Alfalfa</v>
      </c>
      <c r="D23" s="7" t="s">
        <v>138</v>
      </c>
      <c r="E23" s="10" t="str">
        <f t="shared" ref="E23:E59" si="0">IF($B$3="ALFALFA","Y",IF($B$3="CLOVER","Y",IF($B$3="Grass","Y",IF($B$3="Switchgrass","Y","N"))))</f>
        <v>Y</v>
      </c>
      <c r="F23" s="39" t="s">
        <v>170</v>
      </c>
      <c r="G23">
        <v>0</v>
      </c>
      <c r="H23" s="30" t="str">
        <f>IF($B$5="Y","FALSE","TRUE")</f>
        <v>TRUE</v>
      </c>
      <c r="I23" s="7">
        <v>0</v>
      </c>
      <c r="J23" s="4" t="str">
        <f>IF($B$5="Y","No Tillage",$B$6)</f>
        <v>Reduced Tillage</v>
      </c>
      <c r="K23" s="7" t="s">
        <v>200</v>
      </c>
      <c r="L23" s="7" t="str">
        <f t="shared" ref="L23:L59" si="1">$B$7</f>
        <v>Ammonium Nitrate</v>
      </c>
      <c r="M23" s="7" t="s">
        <v>230</v>
      </c>
      <c r="N23" s="4">
        <f>IF($B$5="Y",0,$B$8)</f>
        <v>100</v>
      </c>
      <c r="O23" s="7" t="s">
        <v>121</v>
      </c>
      <c r="P23" s="7" t="str">
        <f t="shared" ref="P23:P59" si="2">$B$9</f>
        <v>Surface Broadcast</v>
      </c>
      <c r="Q23" s="10" t="s">
        <v>1</v>
      </c>
      <c r="R23" s="4">
        <v>1</v>
      </c>
    </row>
    <row r="24" spans="1:18" s="34" customFormat="1" ht="25" customHeight="1">
      <c r="A24" s="33"/>
      <c r="B24" s="4">
        <f>IF($B$4="None","",$B$23)</f>
        <v>2001</v>
      </c>
      <c r="C24" s="4" t="str">
        <f>IF($B$4="None","",$B$4)</f>
        <v>Clover</v>
      </c>
      <c r="D24" s="38" t="str">
        <f>(D23)</f>
        <v>"01/01/2001"</v>
      </c>
      <c r="E24" s="38" t="s">
        <v>167</v>
      </c>
      <c r="F24" s="41" t="str">
        <f>(F23)</f>
        <v>"10/01/2001"</v>
      </c>
      <c r="G24" s="36">
        <v>0</v>
      </c>
      <c r="H24" s="10" t="b">
        <v>1</v>
      </c>
      <c r="I24" s="7">
        <v>0</v>
      </c>
      <c r="J24" s="8"/>
      <c r="K24" s="8"/>
      <c r="L24" s="8"/>
      <c r="M24" s="8"/>
      <c r="N24" s="8"/>
      <c r="O24" s="8"/>
      <c r="P24" s="8"/>
      <c r="Q24" s="35"/>
      <c r="R24" s="34">
        <v>-2</v>
      </c>
    </row>
    <row r="25" spans="1:18" ht="25" customHeight="1">
      <c r="A25" s="15"/>
      <c r="B25" s="7">
        <v>2002</v>
      </c>
      <c r="C25" s="4" t="str">
        <f t="shared" ref="C25:C57" si="3">$B$3</f>
        <v>Alfalfa</v>
      </c>
      <c r="D25" s="4" t="s">
        <v>139</v>
      </c>
      <c r="E25" s="10" t="str">
        <f t="shared" si="0"/>
        <v>Y</v>
      </c>
      <c r="F25" s="40" t="s">
        <v>171</v>
      </c>
      <c r="G25">
        <v>53</v>
      </c>
      <c r="H25" s="10" t="b">
        <v>1</v>
      </c>
      <c r="I25" s="7">
        <v>0</v>
      </c>
      <c r="J25" s="7" t="s">
        <v>97</v>
      </c>
      <c r="K25" s="4" t="s">
        <v>201</v>
      </c>
      <c r="L25" s="7" t="str">
        <f t="shared" si="1"/>
        <v>Ammonium Nitrate</v>
      </c>
      <c r="M25" s="4" t="s">
        <v>231</v>
      </c>
      <c r="N25" s="7">
        <f t="shared" ref="N25:N57" si="4">$B$8</f>
        <v>100</v>
      </c>
      <c r="O25" s="7" t="s">
        <v>121</v>
      </c>
      <c r="P25" s="7" t="str">
        <f t="shared" si="2"/>
        <v>Surface Broadcast</v>
      </c>
      <c r="Q25" s="10" t="s">
        <v>1</v>
      </c>
      <c r="R25" s="4">
        <v>1</v>
      </c>
    </row>
    <row r="26" spans="1:18" s="34" customFormat="1" ht="25" customHeight="1">
      <c r="A26" s="33"/>
      <c r="B26" s="4">
        <f>IF($B$4="None","",$B$25)</f>
        <v>2002</v>
      </c>
      <c r="C26" s="4" t="str">
        <f>IF($B$4="None","",$B$4)</f>
        <v>Clover</v>
      </c>
      <c r="D26" s="38" t="str">
        <f>(D25)</f>
        <v>"01/01/2002"</v>
      </c>
      <c r="E26" s="38" t="s">
        <v>167</v>
      </c>
      <c r="F26" s="41" t="str">
        <f>(F25)</f>
        <v>"10/01/2002"</v>
      </c>
      <c r="G26" s="36">
        <v>0</v>
      </c>
      <c r="H26" s="10" t="b">
        <v>1</v>
      </c>
      <c r="I26" s="7">
        <v>0</v>
      </c>
      <c r="J26" s="8"/>
      <c r="K26" s="8"/>
      <c r="L26" s="8"/>
      <c r="M26" s="8"/>
      <c r="N26" s="8"/>
      <c r="O26" s="8"/>
      <c r="P26" s="8"/>
      <c r="Q26" s="35"/>
      <c r="R26" s="34">
        <v>-2</v>
      </c>
    </row>
    <row r="27" spans="1:18" ht="25" customHeight="1">
      <c r="A27" s="15"/>
      <c r="B27" s="7">
        <v>2003</v>
      </c>
      <c r="C27" s="4" t="str">
        <f>IF($B$5="Y","Fallow",$B$3)</f>
        <v>Alfalfa</v>
      </c>
      <c r="D27" s="4" t="s">
        <v>140</v>
      </c>
      <c r="E27" s="10" t="str">
        <f t="shared" si="0"/>
        <v>Y</v>
      </c>
      <c r="F27" s="40" t="s">
        <v>172</v>
      </c>
      <c r="G27">
        <v>0</v>
      </c>
      <c r="H27" s="30" t="str">
        <f>IF($B$5="Y","FALSE","TRUE")</f>
        <v>TRUE</v>
      </c>
      <c r="I27" s="7">
        <v>0</v>
      </c>
      <c r="J27" s="4" t="str">
        <f>IF($B$5="Y","No Tillage",$B$6)</f>
        <v>Reduced Tillage</v>
      </c>
      <c r="K27" s="4" t="s">
        <v>202</v>
      </c>
      <c r="L27" s="7" t="str">
        <f t="shared" si="1"/>
        <v>Ammonium Nitrate</v>
      </c>
      <c r="M27" s="4" t="s">
        <v>232</v>
      </c>
      <c r="N27" s="4">
        <f>IF($B$5="Y",0,$B$8)</f>
        <v>100</v>
      </c>
      <c r="O27" s="7" t="s">
        <v>121</v>
      </c>
      <c r="P27" s="7" t="str">
        <f t="shared" si="2"/>
        <v>Surface Broadcast</v>
      </c>
      <c r="Q27" s="10" t="s">
        <v>1</v>
      </c>
      <c r="R27" s="4">
        <v>1</v>
      </c>
    </row>
    <row r="28" spans="1:18" ht="25" customHeight="1">
      <c r="A28" s="15"/>
      <c r="B28" s="4">
        <f>IF($B$4="None","",$B$27)</f>
        <v>2003</v>
      </c>
      <c r="C28" s="4" t="str">
        <f>IF($B$4="None","",$B$4)</f>
        <v>Clover</v>
      </c>
      <c r="D28" s="38" t="str">
        <f>(D27)</f>
        <v>"01/01/2003"</v>
      </c>
      <c r="E28" s="38" t="s">
        <v>167</v>
      </c>
      <c r="F28" s="41" t="str">
        <f>(F27)</f>
        <v>"10/01/2003"</v>
      </c>
      <c r="G28" s="36">
        <v>0</v>
      </c>
      <c r="H28" s="10" t="b">
        <v>1</v>
      </c>
      <c r="I28" s="7">
        <v>0</v>
      </c>
      <c r="L28" s="7"/>
      <c r="O28" s="7"/>
      <c r="P28" s="7"/>
      <c r="Q28" s="10"/>
      <c r="R28" s="34">
        <v>-2</v>
      </c>
    </row>
    <row r="29" spans="1:18" ht="25" customHeight="1">
      <c r="A29" s="15"/>
      <c r="B29" s="7">
        <v>2004</v>
      </c>
      <c r="C29" s="4" t="str">
        <f t="shared" si="3"/>
        <v>Alfalfa</v>
      </c>
      <c r="D29" s="4" t="s">
        <v>141</v>
      </c>
      <c r="E29" s="10" t="str">
        <f t="shared" si="0"/>
        <v>Y</v>
      </c>
      <c r="F29" s="40" t="s">
        <v>173</v>
      </c>
      <c r="G29">
        <v>73</v>
      </c>
      <c r="H29" s="10" t="b">
        <v>1</v>
      </c>
      <c r="I29" s="7">
        <v>0</v>
      </c>
      <c r="J29" s="7" t="s">
        <v>97</v>
      </c>
      <c r="K29" s="4" t="s">
        <v>203</v>
      </c>
      <c r="L29" s="7" t="str">
        <f t="shared" si="1"/>
        <v>Ammonium Nitrate</v>
      </c>
      <c r="M29" s="4" t="s">
        <v>233</v>
      </c>
      <c r="N29" s="7">
        <f t="shared" si="4"/>
        <v>100</v>
      </c>
      <c r="O29" s="7" t="s">
        <v>121</v>
      </c>
      <c r="P29" s="7" t="str">
        <f t="shared" si="2"/>
        <v>Surface Broadcast</v>
      </c>
      <c r="Q29" s="10" t="s">
        <v>1</v>
      </c>
      <c r="R29" s="4">
        <v>1</v>
      </c>
    </row>
    <row r="30" spans="1:18" ht="25" customHeight="1">
      <c r="A30" s="15"/>
      <c r="B30" s="4">
        <f>IF($B$4="None","",$B$29)</f>
        <v>2004</v>
      </c>
      <c r="C30" s="4" t="str">
        <f>IF($B$4="None","",$B$4)</f>
        <v>Clover</v>
      </c>
      <c r="D30" s="38" t="str">
        <f>(D29)</f>
        <v>"01/01/2004"</v>
      </c>
      <c r="E30" s="38" t="s">
        <v>167</v>
      </c>
      <c r="F30" s="41" t="str">
        <f>(F29)</f>
        <v>"10/01/2004"</v>
      </c>
      <c r="G30" s="36">
        <v>0</v>
      </c>
      <c r="H30" s="10" t="b">
        <v>1</v>
      </c>
      <c r="I30" s="7">
        <v>0</v>
      </c>
      <c r="J30" s="7"/>
      <c r="L30" s="7"/>
      <c r="N30" s="7"/>
      <c r="O30" s="7"/>
      <c r="P30" s="7"/>
      <c r="Q30" s="10"/>
      <c r="R30" s="34">
        <v>-2</v>
      </c>
    </row>
    <row r="31" spans="1:18" ht="25" customHeight="1">
      <c r="A31" s="15"/>
      <c r="B31" s="7">
        <v>2005</v>
      </c>
      <c r="C31" s="4" t="str">
        <f>IF($B$5="Y","Fallow",$B$3)</f>
        <v>Alfalfa</v>
      </c>
      <c r="D31" s="4" t="s">
        <v>142</v>
      </c>
      <c r="E31" s="10" t="str">
        <f t="shared" si="0"/>
        <v>Y</v>
      </c>
      <c r="F31" s="40" t="s">
        <v>174</v>
      </c>
      <c r="G31">
        <v>0</v>
      </c>
      <c r="H31" s="30" t="str">
        <f>IF($B$5="Y","FALSE","TRUE")</f>
        <v>TRUE</v>
      </c>
      <c r="I31" s="7">
        <v>0</v>
      </c>
      <c r="J31" s="4" t="str">
        <f>IF($B$5="Y","No Tillage",$B$6)</f>
        <v>Reduced Tillage</v>
      </c>
      <c r="K31" s="4" t="s">
        <v>204</v>
      </c>
      <c r="L31" s="7" t="str">
        <f t="shared" si="1"/>
        <v>Ammonium Nitrate</v>
      </c>
      <c r="M31" s="4" t="s">
        <v>234</v>
      </c>
      <c r="N31" s="4">
        <f>IF($B$5="Y",0,$B$8)</f>
        <v>100</v>
      </c>
      <c r="O31" s="7" t="s">
        <v>121</v>
      </c>
      <c r="P31" s="7" t="str">
        <f t="shared" si="2"/>
        <v>Surface Broadcast</v>
      </c>
      <c r="Q31" s="10" t="s">
        <v>1</v>
      </c>
      <c r="R31" s="4">
        <v>1</v>
      </c>
    </row>
    <row r="32" spans="1:18" ht="25" customHeight="1">
      <c r="A32" s="15"/>
      <c r="B32" s="4">
        <f>IF($B$4="None","",$B$31)</f>
        <v>2005</v>
      </c>
      <c r="C32" s="4" t="str">
        <f>IF($B$4="None","",$B$4)</f>
        <v>Clover</v>
      </c>
      <c r="D32" s="38" t="str">
        <f>(D31)</f>
        <v>"01/01/2005"</v>
      </c>
      <c r="E32" s="38" t="s">
        <v>167</v>
      </c>
      <c r="F32" s="41" t="str">
        <f>(F31)</f>
        <v>"10/01/2005"</v>
      </c>
      <c r="G32" s="36">
        <v>0</v>
      </c>
      <c r="H32" s="10" t="b">
        <v>1</v>
      </c>
      <c r="I32" s="7">
        <v>0</v>
      </c>
      <c r="L32" s="7"/>
      <c r="O32" s="7"/>
      <c r="P32" s="7"/>
      <c r="Q32" s="10"/>
      <c r="R32" s="34">
        <v>-2</v>
      </c>
    </row>
    <row r="33" spans="1:18" ht="25" customHeight="1">
      <c r="A33" s="15"/>
      <c r="B33" s="7">
        <v>2006</v>
      </c>
      <c r="C33" s="4" t="str">
        <f t="shared" si="3"/>
        <v>Alfalfa</v>
      </c>
      <c r="D33" s="4" t="s">
        <v>143</v>
      </c>
      <c r="E33" s="10" t="str">
        <f t="shared" si="0"/>
        <v>Y</v>
      </c>
      <c r="F33" s="40" t="s">
        <v>177</v>
      </c>
      <c r="G33">
        <v>58</v>
      </c>
      <c r="H33" s="10" t="b">
        <v>1</v>
      </c>
      <c r="I33" s="7">
        <v>0</v>
      </c>
      <c r="J33" s="7" t="s">
        <v>97</v>
      </c>
      <c r="K33" s="4" t="s">
        <v>205</v>
      </c>
      <c r="L33" s="7" t="str">
        <f t="shared" si="1"/>
        <v>Ammonium Nitrate</v>
      </c>
      <c r="M33" s="4" t="s">
        <v>235</v>
      </c>
      <c r="N33" s="7">
        <f t="shared" si="4"/>
        <v>100</v>
      </c>
      <c r="O33" s="7" t="s">
        <v>121</v>
      </c>
      <c r="P33" s="7" t="str">
        <f t="shared" si="2"/>
        <v>Surface Broadcast</v>
      </c>
      <c r="Q33" s="10" t="s">
        <v>1</v>
      </c>
      <c r="R33" s="4">
        <v>1</v>
      </c>
    </row>
    <row r="34" spans="1:18" ht="25" customHeight="1">
      <c r="A34" s="15"/>
      <c r="B34" s="4">
        <f>IF($B$4="None","",$B$33)</f>
        <v>2006</v>
      </c>
      <c r="C34" s="4" t="str">
        <f>IF($B$4="None","",$B$4)</f>
        <v>Clover</v>
      </c>
      <c r="D34" s="38" t="str">
        <f>(D33)</f>
        <v>"01/01/2006"</v>
      </c>
      <c r="E34" s="38" t="s">
        <v>167</v>
      </c>
      <c r="F34" s="41" t="str">
        <f>(F33)</f>
        <v>"10/01/2006"</v>
      </c>
      <c r="G34" s="36">
        <v>0</v>
      </c>
      <c r="H34" s="10" t="b">
        <v>1</v>
      </c>
      <c r="I34" s="7">
        <v>0</v>
      </c>
      <c r="J34" s="7"/>
      <c r="L34" s="7"/>
      <c r="N34" s="7"/>
      <c r="O34" s="7"/>
      <c r="P34" s="7"/>
      <c r="Q34" s="10"/>
      <c r="R34" s="34">
        <v>-2</v>
      </c>
    </row>
    <row r="35" spans="1:18" ht="25" customHeight="1">
      <c r="A35" s="15"/>
      <c r="B35" s="7">
        <v>2007</v>
      </c>
      <c r="C35" s="4" t="str">
        <f>IF($B$5="Y","Fallow",$B$3)</f>
        <v>Alfalfa</v>
      </c>
      <c r="D35" s="4" t="s">
        <v>144</v>
      </c>
      <c r="E35" s="10" t="str">
        <f t="shared" si="0"/>
        <v>Y</v>
      </c>
      <c r="F35" s="40" t="s">
        <v>176</v>
      </c>
      <c r="G35">
        <v>0</v>
      </c>
      <c r="H35" s="30" t="str">
        <f>IF($B$5="Y","FALSE","TRUE")</f>
        <v>TRUE</v>
      </c>
      <c r="I35" s="7">
        <v>0</v>
      </c>
      <c r="J35" s="4" t="str">
        <f>IF($B$5="Y","No Tillage",$B$6)</f>
        <v>Reduced Tillage</v>
      </c>
      <c r="K35" s="4" t="s">
        <v>206</v>
      </c>
      <c r="L35" s="7" t="str">
        <f t="shared" si="1"/>
        <v>Ammonium Nitrate</v>
      </c>
      <c r="M35" s="4" t="s">
        <v>236</v>
      </c>
      <c r="N35" s="4">
        <f>IF($B$5="Y",0,$B$8)</f>
        <v>100</v>
      </c>
      <c r="O35" s="7" t="s">
        <v>121</v>
      </c>
      <c r="P35" s="7" t="str">
        <f t="shared" si="2"/>
        <v>Surface Broadcast</v>
      </c>
      <c r="Q35" s="10" t="s">
        <v>1</v>
      </c>
      <c r="R35" s="4">
        <v>1</v>
      </c>
    </row>
    <row r="36" spans="1:18" ht="25" customHeight="1">
      <c r="A36" s="15"/>
      <c r="B36" s="4">
        <f>IF($B$4="None","",$B$35)</f>
        <v>2007</v>
      </c>
      <c r="C36" s="4" t="str">
        <f>IF($B$4="None","",$B$4)</f>
        <v>Clover</v>
      </c>
      <c r="D36" s="38" t="str">
        <f>(D35)</f>
        <v>"01/01/2007"</v>
      </c>
      <c r="E36" s="38" t="s">
        <v>167</v>
      </c>
      <c r="F36" s="41" t="str">
        <f>(F35)</f>
        <v>"10/01/2007"</v>
      </c>
      <c r="G36" s="36">
        <v>0</v>
      </c>
      <c r="H36" s="10" t="b">
        <v>1</v>
      </c>
      <c r="I36" s="7">
        <v>0</v>
      </c>
      <c r="L36" s="7"/>
      <c r="O36" s="7"/>
      <c r="P36" s="7"/>
      <c r="Q36" s="10"/>
      <c r="R36" s="34">
        <v>-2</v>
      </c>
    </row>
    <row r="37" spans="1:18" ht="25" customHeight="1">
      <c r="A37" s="15"/>
      <c r="B37" s="7">
        <v>2008</v>
      </c>
      <c r="C37" s="4" t="str">
        <f t="shared" si="3"/>
        <v>Alfalfa</v>
      </c>
      <c r="D37" s="4" t="s">
        <v>145</v>
      </c>
      <c r="E37" s="10" t="str">
        <f t="shared" si="0"/>
        <v>Y</v>
      </c>
      <c r="F37" s="40" t="s">
        <v>175</v>
      </c>
      <c r="G37">
        <v>50</v>
      </c>
      <c r="H37" s="10" t="b">
        <v>1</v>
      </c>
      <c r="I37" s="7">
        <v>0</v>
      </c>
      <c r="J37" s="7" t="s">
        <v>97</v>
      </c>
      <c r="K37" s="4" t="s">
        <v>207</v>
      </c>
      <c r="L37" s="7" t="str">
        <f t="shared" si="1"/>
        <v>Ammonium Nitrate</v>
      </c>
      <c r="M37" s="4" t="s">
        <v>237</v>
      </c>
      <c r="N37" s="7">
        <f t="shared" si="4"/>
        <v>100</v>
      </c>
      <c r="O37" s="7" t="s">
        <v>121</v>
      </c>
      <c r="P37" s="7" t="str">
        <f t="shared" si="2"/>
        <v>Surface Broadcast</v>
      </c>
      <c r="Q37" s="10" t="s">
        <v>1</v>
      </c>
      <c r="R37" s="4">
        <v>1</v>
      </c>
    </row>
    <row r="38" spans="1:18" ht="25" customHeight="1">
      <c r="A38" s="15"/>
      <c r="B38" s="4">
        <f>IF($B$4="None","",$B$37)</f>
        <v>2008</v>
      </c>
      <c r="C38" s="4" t="str">
        <f>IF($B$4="None","",$B$4)</f>
        <v>Clover</v>
      </c>
      <c r="D38" s="38" t="str">
        <f>(D37)</f>
        <v>"01/01/2008"</v>
      </c>
      <c r="E38" s="38" t="s">
        <v>167</v>
      </c>
      <c r="F38" s="41" t="str">
        <f>(F37)</f>
        <v>"10/01/2008"</v>
      </c>
      <c r="G38" s="36">
        <v>0</v>
      </c>
      <c r="H38" s="10" t="b">
        <v>1</v>
      </c>
      <c r="I38" s="7">
        <v>0</v>
      </c>
      <c r="J38" s="7"/>
      <c r="L38" s="7"/>
      <c r="N38" s="7"/>
      <c r="O38" s="7"/>
      <c r="P38" s="7"/>
      <c r="Q38" s="10"/>
      <c r="R38" s="34">
        <v>-2</v>
      </c>
    </row>
    <row r="39" spans="1:18" ht="25" customHeight="1">
      <c r="A39" s="15"/>
      <c r="B39" s="7">
        <v>2009</v>
      </c>
      <c r="C39" s="4" t="str">
        <f>IF($B$5="Y","Fallow",$B$3)</f>
        <v>Alfalfa</v>
      </c>
      <c r="D39" s="4" t="s">
        <v>146</v>
      </c>
      <c r="E39" s="10" t="str">
        <f t="shared" si="0"/>
        <v>Y</v>
      </c>
      <c r="F39" s="40" t="s">
        <v>178</v>
      </c>
      <c r="G39">
        <v>0</v>
      </c>
      <c r="H39" s="30" t="str">
        <f>IF($B$5="Y","FALSE","TRUE")</f>
        <v>TRUE</v>
      </c>
      <c r="I39" s="7">
        <v>0</v>
      </c>
      <c r="J39" s="4" t="str">
        <f>IF($B$5="Y","No Tillage",$B$6)</f>
        <v>Reduced Tillage</v>
      </c>
      <c r="K39" s="4" t="s">
        <v>208</v>
      </c>
      <c r="L39" s="7" t="str">
        <f t="shared" si="1"/>
        <v>Ammonium Nitrate</v>
      </c>
      <c r="M39" s="4" t="s">
        <v>238</v>
      </c>
      <c r="N39" s="4">
        <f>IF($B$5="Y",0,$B$8)</f>
        <v>100</v>
      </c>
      <c r="O39" s="7" t="s">
        <v>121</v>
      </c>
      <c r="P39" s="7" t="str">
        <f t="shared" si="2"/>
        <v>Surface Broadcast</v>
      </c>
      <c r="Q39" s="10" t="s">
        <v>1</v>
      </c>
      <c r="R39" s="4">
        <v>1</v>
      </c>
    </row>
    <row r="40" spans="1:18" ht="25" customHeight="1">
      <c r="A40" s="15"/>
      <c r="B40" s="4">
        <f>IF($B$4="None","",$B$39)</f>
        <v>2009</v>
      </c>
      <c r="C40" s="4" t="str">
        <f>IF($B$4="None","",$B$4)</f>
        <v>Clover</v>
      </c>
      <c r="D40" s="38" t="str">
        <f>(D39)</f>
        <v>"01/01/2009"</v>
      </c>
      <c r="E40" s="38" t="s">
        <v>167</v>
      </c>
      <c r="F40" s="41" t="str">
        <f>(F39)</f>
        <v>"10/01/2009"</v>
      </c>
      <c r="G40" s="36">
        <v>0</v>
      </c>
      <c r="H40" s="10" t="b">
        <v>1</v>
      </c>
      <c r="I40" s="7">
        <v>0</v>
      </c>
      <c r="L40" s="7"/>
      <c r="O40" s="7"/>
      <c r="P40" s="7"/>
      <c r="Q40" s="10"/>
      <c r="R40" s="34">
        <v>-2</v>
      </c>
    </row>
    <row r="41" spans="1:18" ht="25" customHeight="1">
      <c r="A41" s="15"/>
      <c r="B41" s="7">
        <v>2010</v>
      </c>
      <c r="C41" s="4" t="str">
        <f t="shared" si="3"/>
        <v>Alfalfa</v>
      </c>
      <c r="D41" s="4" t="s">
        <v>147</v>
      </c>
      <c r="E41" s="10" t="str">
        <f t="shared" si="0"/>
        <v>Y</v>
      </c>
      <c r="F41" s="40" t="s">
        <v>179</v>
      </c>
      <c r="G41">
        <v>74</v>
      </c>
      <c r="H41" s="10" t="b">
        <v>1</v>
      </c>
      <c r="I41" s="7">
        <v>0</v>
      </c>
      <c r="J41" s="7" t="s">
        <v>97</v>
      </c>
      <c r="K41" s="4" t="s">
        <v>209</v>
      </c>
      <c r="L41" s="7" t="str">
        <f t="shared" si="1"/>
        <v>Ammonium Nitrate</v>
      </c>
      <c r="M41" s="4" t="s">
        <v>239</v>
      </c>
      <c r="N41" s="7">
        <f t="shared" si="4"/>
        <v>100</v>
      </c>
      <c r="O41" s="7" t="s">
        <v>121</v>
      </c>
      <c r="P41" s="7" t="str">
        <f t="shared" si="2"/>
        <v>Surface Broadcast</v>
      </c>
      <c r="Q41" s="10" t="s">
        <v>1</v>
      </c>
      <c r="R41" s="4">
        <v>1</v>
      </c>
    </row>
    <row r="42" spans="1:18" ht="25" customHeight="1">
      <c r="A42" s="15"/>
      <c r="B42" s="4">
        <f>IF($B$4="None","",$B$41)</f>
        <v>2010</v>
      </c>
      <c r="C42" s="4" t="str">
        <f>IF($B$4="None","",$B$4)</f>
        <v>Clover</v>
      </c>
      <c r="D42" s="38" t="str">
        <f>(D41)</f>
        <v>"01/01/2010"</v>
      </c>
      <c r="E42" s="38" t="s">
        <v>167</v>
      </c>
      <c r="F42" s="41" t="str">
        <f>(F41)</f>
        <v>"10/01/2010"</v>
      </c>
      <c r="G42" s="36">
        <v>0</v>
      </c>
      <c r="H42" s="10" t="b">
        <v>1</v>
      </c>
      <c r="I42" s="7">
        <v>0</v>
      </c>
      <c r="J42" s="7"/>
      <c r="L42" s="7"/>
      <c r="N42" s="7"/>
      <c r="O42" s="7"/>
      <c r="P42" s="7"/>
      <c r="Q42" s="10"/>
      <c r="R42" s="34">
        <v>-2</v>
      </c>
    </row>
    <row r="43" spans="1:18" ht="25" customHeight="1">
      <c r="A43" s="15"/>
      <c r="B43" s="7">
        <v>2011</v>
      </c>
      <c r="C43" s="4" t="str">
        <f>IF($B$5="Y","Fallow",$B$3)</f>
        <v>Alfalfa</v>
      </c>
      <c r="D43" s="4" t="s">
        <v>148</v>
      </c>
      <c r="E43" s="10" t="str">
        <f t="shared" si="0"/>
        <v>Y</v>
      </c>
      <c r="F43" s="40" t="s">
        <v>180</v>
      </c>
      <c r="G43">
        <v>0</v>
      </c>
      <c r="H43" s="30" t="str">
        <f>IF($B$5="Y","FALSE","TRUE")</f>
        <v>TRUE</v>
      </c>
      <c r="I43" s="7">
        <v>0</v>
      </c>
      <c r="J43" s="4" t="str">
        <f>IF($B$5="Y","No Tillage",$B$6)</f>
        <v>Reduced Tillage</v>
      </c>
      <c r="K43" s="4" t="s">
        <v>210</v>
      </c>
      <c r="L43" s="7" t="str">
        <f t="shared" si="1"/>
        <v>Ammonium Nitrate</v>
      </c>
      <c r="M43" s="4" t="s">
        <v>240</v>
      </c>
      <c r="N43" s="4">
        <f>IF($B$5="Y",0,$B$8)</f>
        <v>100</v>
      </c>
      <c r="O43" s="7" t="s">
        <v>121</v>
      </c>
      <c r="P43" s="7" t="str">
        <f t="shared" si="2"/>
        <v>Surface Broadcast</v>
      </c>
      <c r="Q43" s="10" t="s">
        <v>1</v>
      </c>
      <c r="R43" s="4">
        <v>1</v>
      </c>
    </row>
    <row r="44" spans="1:18" ht="25" customHeight="1">
      <c r="A44" s="15"/>
      <c r="B44" s="4">
        <f>IF($B$4="None","",$B$43)</f>
        <v>2011</v>
      </c>
      <c r="C44" s="4" t="str">
        <f>IF($B$4="None","",$B$4)</f>
        <v>Clover</v>
      </c>
      <c r="D44" s="38" t="str">
        <f>(D43)</f>
        <v>"01/01/2011"</v>
      </c>
      <c r="E44" s="38" t="s">
        <v>167</v>
      </c>
      <c r="F44" s="41" t="str">
        <f>(F43)</f>
        <v>"10/01/2011"</v>
      </c>
      <c r="G44" s="36">
        <v>0</v>
      </c>
      <c r="H44" s="10" t="b">
        <v>1</v>
      </c>
      <c r="I44" s="7">
        <v>0</v>
      </c>
      <c r="L44" s="7"/>
      <c r="O44" s="7"/>
      <c r="P44" s="7"/>
      <c r="Q44" s="10"/>
      <c r="R44" s="34">
        <v>-2</v>
      </c>
    </row>
    <row r="45" spans="1:18" ht="25" customHeight="1">
      <c r="A45" s="15"/>
      <c r="B45" s="7">
        <v>2012</v>
      </c>
      <c r="C45" s="4" t="str">
        <f t="shared" si="3"/>
        <v>Alfalfa</v>
      </c>
      <c r="D45" s="4" t="s">
        <v>149</v>
      </c>
      <c r="E45" s="10" t="str">
        <f t="shared" si="0"/>
        <v>Y</v>
      </c>
      <c r="F45" s="40" t="s">
        <v>181</v>
      </c>
      <c r="G45">
        <v>72</v>
      </c>
      <c r="H45" s="10" t="b">
        <v>1</v>
      </c>
      <c r="I45" s="7">
        <v>0</v>
      </c>
      <c r="J45" s="7" t="s">
        <v>97</v>
      </c>
      <c r="K45" s="4" t="s">
        <v>211</v>
      </c>
      <c r="L45" s="7" t="str">
        <f t="shared" si="1"/>
        <v>Ammonium Nitrate</v>
      </c>
      <c r="M45" s="4" t="s">
        <v>241</v>
      </c>
      <c r="N45" s="7">
        <f t="shared" si="4"/>
        <v>100</v>
      </c>
      <c r="O45" s="7" t="s">
        <v>121</v>
      </c>
      <c r="P45" s="7" t="str">
        <f t="shared" si="2"/>
        <v>Surface Broadcast</v>
      </c>
      <c r="Q45" s="10" t="s">
        <v>1</v>
      </c>
      <c r="R45" s="4">
        <v>1</v>
      </c>
    </row>
    <row r="46" spans="1:18" ht="25" customHeight="1">
      <c r="A46" s="15"/>
      <c r="B46" s="4">
        <f>IF($B$4="None","",$B$45)</f>
        <v>2012</v>
      </c>
      <c r="C46" s="4" t="str">
        <f>IF($B$4="None","",$B$4)</f>
        <v>Clover</v>
      </c>
      <c r="D46" s="38" t="str">
        <f>(D45)</f>
        <v>"01/01/2012"</v>
      </c>
      <c r="E46" s="38" t="s">
        <v>167</v>
      </c>
      <c r="F46" s="41" t="str">
        <f>(F45)</f>
        <v>"10/01/2012"</v>
      </c>
      <c r="G46" s="36">
        <v>0</v>
      </c>
      <c r="H46" s="10" t="b">
        <v>1</v>
      </c>
      <c r="I46" s="7">
        <v>0</v>
      </c>
      <c r="J46" s="7"/>
      <c r="L46" s="7"/>
      <c r="N46" s="7"/>
      <c r="O46" s="7"/>
      <c r="P46" s="7"/>
      <c r="Q46" s="10"/>
      <c r="R46" s="34">
        <v>-2</v>
      </c>
    </row>
    <row r="47" spans="1:18" ht="25" customHeight="1">
      <c r="A47" s="15"/>
      <c r="B47" s="7">
        <v>2013</v>
      </c>
      <c r="C47" s="4" t="str">
        <f>IF($B$5="Y","Fallow",$B$3)</f>
        <v>Alfalfa</v>
      </c>
      <c r="D47" s="4" t="s">
        <v>150</v>
      </c>
      <c r="E47" s="10" t="str">
        <f t="shared" si="0"/>
        <v>Y</v>
      </c>
      <c r="F47" s="40" t="s">
        <v>182</v>
      </c>
      <c r="G47">
        <v>0</v>
      </c>
      <c r="H47" s="30" t="str">
        <f>IF($B$5="Y","FALSE","TRUE")</f>
        <v>TRUE</v>
      </c>
      <c r="I47" s="7">
        <v>0</v>
      </c>
      <c r="J47" s="4" t="str">
        <f>IF($B$5="Y","No Tillage",$B$6)</f>
        <v>Reduced Tillage</v>
      </c>
      <c r="K47" s="4" t="s">
        <v>212</v>
      </c>
      <c r="L47" s="7" t="str">
        <f t="shared" si="1"/>
        <v>Ammonium Nitrate</v>
      </c>
      <c r="M47" s="4" t="s">
        <v>242</v>
      </c>
      <c r="N47" s="4">
        <f>IF($B$5="Y",0,$B$8)</f>
        <v>100</v>
      </c>
      <c r="O47" s="7" t="s">
        <v>121</v>
      </c>
      <c r="P47" s="7" t="str">
        <f t="shared" si="2"/>
        <v>Surface Broadcast</v>
      </c>
      <c r="Q47" s="10" t="s">
        <v>1</v>
      </c>
      <c r="R47" s="4">
        <v>1</v>
      </c>
    </row>
    <row r="48" spans="1:18" ht="25" customHeight="1">
      <c r="A48" s="15"/>
      <c r="B48" s="4">
        <f>IF($B$4="None","",$B$47)</f>
        <v>2013</v>
      </c>
      <c r="C48" s="4" t="str">
        <f>IF($B$4="None","",$B$4)</f>
        <v>Clover</v>
      </c>
      <c r="D48" s="38" t="str">
        <f>(D47)</f>
        <v>"01/01/2013"</v>
      </c>
      <c r="E48" s="38" t="s">
        <v>167</v>
      </c>
      <c r="F48" s="41" t="str">
        <f>(F47)</f>
        <v>"10/01/2013"</v>
      </c>
      <c r="G48" s="36">
        <v>0</v>
      </c>
      <c r="H48" s="10" t="b">
        <v>1</v>
      </c>
      <c r="I48" s="7">
        <v>0</v>
      </c>
      <c r="L48" s="7"/>
      <c r="O48" s="7"/>
      <c r="P48" s="7"/>
      <c r="Q48" s="10"/>
      <c r="R48" s="34">
        <v>-2</v>
      </c>
    </row>
    <row r="49" spans="1:18" ht="25" customHeight="1">
      <c r="A49" s="15"/>
      <c r="B49" s="7">
        <v>2014</v>
      </c>
      <c r="C49" s="4" t="str">
        <f t="shared" si="3"/>
        <v>Alfalfa</v>
      </c>
      <c r="D49" s="4" t="s">
        <v>151</v>
      </c>
      <c r="E49" s="10" t="str">
        <f t="shared" si="0"/>
        <v>Y</v>
      </c>
      <c r="F49" s="40" t="s">
        <v>183</v>
      </c>
      <c r="G49">
        <v>50</v>
      </c>
      <c r="H49" s="10" t="b">
        <v>1</v>
      </c>
      <c r="I49" s="7">
        <v>0</v>
      </c>
      <c r="J49" s="7" t="s">
        <v>97</v>
      </c>
      <c r="K49" s="4" t="s">
        <v>213</v>
      </c>
      <c r="L49" s="7" t="str">
        <f t="shared" si="1"/>
        <v>Ammonium Nitrate</v>
      </c>
      <c r="M49" s="4" t="s">
        <v>243</v>
      </c>
      <c r="N49" s="7">
        <f t="shared" si="4"/>
        <v>100</v>
      </c>
      <c r="O49" s="7" t="s">
        <v>121</v>
      </c>
      <c r="P49" s="7" t="str">
        <f t="shared" si="2"/>
        <v>Surface Broadcast</v>
      </c>
      <c r="Q49" s="10" t="s">
        <v>1</v>
      </c>
      <c r="R49" s="4">
        <v>1</v>
      </c>
    </row>
    <row r="50" spans="1:18" ht="25" customHeight="1">
      <c r="A50" s="15"/>
      <c r="B50" s="4">
        <f>IF($B$4="None","",$B$49)</f>
        <v>2014</v>
      </c>
      <c r="C50" s="4" t="str">
        <f>IF($B$4="None","",$B$4)</f>
        <v>Clover</v>
      </c>
      <c r="D50" s="38" t="str">
        <f>(D49)</f>
        <v>"01/01/2014"</v>
      </c>
      <c r="E50" s="38" t="s">
        <v>167</v>
      </c>
      <c r="F50" s="41" t="str">
        <f>(F49)</f>
        <v>"10/01/2014"</v>
      </c>
      <c r="G50" s="36">
        <v>0</v>
      </c>
      <c r="H50" s="10" t="b">
        <v>1</v>
      </c>
      <c r="I50" s="7">
        <v>0</v>
      </c>
      <c r="J50" s="7"/>
      <c r="L50" s="7"/>
      <c r="N50" s="7"/>
      <c r="O50" s="7"/>
      <c r="P50" s="7"/>
      <c r="Q50" s="10"/>
      <c r="R50" s="34">
        <v>-2</v>
      </c>
    </row>
    <row r="51" spans="1:18" ht="25" customHeight="1">
      <c r="A51" s="15"/>
      <c r="B51" s="7">
        <v>2015</v>
      </c>
      <c r="C51" s="4" t="str">
        <f>IF($B$5="Y","Fallow",$B$3)</f>
        <v>Alfalfa</v>
      </c>
      <c r="D51" s="4" t="s">
        <v>152</v>
      </c>
      <c r="E51" s="10" t="str">
        <f t="shared" si="0"/>
        <v>Y</v>
      </c>
      <c r="F51" s="40" t="s">
        <v>184</v>
      </c>
      <c r="G51">
        <v>0</v>
      </c>
      <c r="H51" s="30" t="str">
        <f>IF($B$5="Y","FALSE","TRUE")</f>
        <v>TRUE</v>
      </c>
      <c r="I51" s="7">
        <v>0</v>
      </c>
      <c r="J51" s="4" t="str">
        <f>IF($B$5="Y","No Tillage",$B$6)</f>
        <v>Reduced Tillage</v>
      </c>
      <c r="K51" s="4" t="s">
        <v>214</v>
      </c>
      <c r="L51" s="7" t="str">
        <f t="shared" si="1"/>
        <v>Ammonium Nitrate</v>
      </c>
      <c r="M51" s="4" t="s">
        <v>244</v>
      </c>
      <c r="N51" s="4">
        <f>IF($B$5="Y",0,$B$8)</f>
        <v>100</v>
      </c>
      <c r="O51" s="7" t="s">
        <v>121</v>
      </c>
      <c r="P51" s="7" t="str">
        <f t="shared" si="2"/>
        <v>Surface Broadcast</v>
      </c>
      <c r="Q51" s="10" t="s">
        <v>1</v>
      </c>
      <c r="R51" s="4">
        <v>1</v>
      </c>
    </row>
    <row r="52" spans="1:18" ht="25" customHeight="1">
      <c r="A52" s="15"/>
      <c r="B52" s="4">
        <f>IF($B$4="None","",$B$51)</f>
        <v>2015</v>
      </c>
      <c r="C52" s="4" t="str">
        <f>IF($B$4="None","",$B$4)</f>
        <v>Clover</v>
      </c>
      <c r="D52" s="38" t="str">
        <f>(D51)</f>
        <v>"01/01/2015"</v>
      </c>
      <c r="E52" s="38" t="s">
        <v>167</v>
      </c>
      <c r="F52" s="41" t="str">
        <f>(F51)</f>
        <v>"10/01/2015"</v>
      </c>
      <c r="G52" s="36">
        <v>0</v>
      </c>
      <c r="H52" s="10" t="b">
        <v>1</v>
      </c>
      <c r="I52" s="7">
        <v>0</v>
      </c>
      <c r="L52" s="7"/>
      <c r="O52" s="7"/>
      <c r="P52" s="7"/>
      <c r="Q52" s="10"/>
      <c r="R52" s="34">
        <v>-2</v>
      </c>
    </row>
    <row r="53" spans="1:18" ht="25" customHeight="1">
      <c r="A53" s="15"/>
      <c r="B53" s="7">
        <v>2016</v>
      </c>
      <c r="C53" s="4" t="str">
        <f t="shared" si="3"/>
        <v>Alfalfa</v>
      </c>
      <c r="D53" s="4" t="s">
        <v>153</v>
      </c>
      <c r="E53" s="10" t="str">
        <f t="shared" si="0"/>
        <v>Y</v>
      </c>
      <c r="F53" s="40" t="s">
        <v>185</v>
      </c>
      <c r="G53">
        <v>67</v>
      </c>
      <c r="H53" s="10" t="b">
        <v>1</v>
      </c>
      <c r="I53" s="7">
        <v>0</v>
      </c>
      <c r="J53" s="7" t="s">
        <v>97</v>
      </c>
      <c r="K53" s="4" t="s">
        <v>215</v>
      </c>
      <c r="L53" s="7" t="str">
        <f t="shared" si="1"/>
        <v>Ammonium Nitrate</v>
      </c>
      <c r="M53" s="4" t="s">
        <v>245</v>
      </c>
      <c r="N53" s="7">
        <f t="shared" si="4"/>
        <v>100</v>
      </c>
      <c r="O53" s="7" t="s">
        <v>121</v>
      </c>
      <c r="P53" s="7" t="str">
        <f t="shared" si="2"/>
        <v>Surface Broadcast</v>
      </c>
      <c r="Q53" s="10" t="s">
        <v>1</v>
      </c>
      <c r="R53" s="4">
        <v>1</v>
      </c>
    </row>
    <row r="54" spans="1:18" ht="25" customHeight="1">
      <c r="A54" s="15"/>
      <c r="B54" s="4">
        <f>IF($B$4="None","",$B$53)</f>
        <v>2016</v>
      </c>
      <c r="C54" s="4" t="str">
        <f>IF($B$4="None","",$B$4)</f>
        <v>Clover</v>
      </c>
      <c r="D54" s="38" t="str">
        <f>(D53)</f>
        <v>"01/01/2016"</v>
      </c>
      <c r="E54" s="38" t="s">
        <v>167</v>
      </c>
      <c r="F54" s="41" t="str">
        <f>(F53)</f>
        <v>"10/01/2016"</v>
      </c>
      <c r="G54" s="36">
        <v>0</v>
      </c>
      <c r="H54" s="10" t="b">
        <v>1</v>
      </c>
      <c r="I54" s="7">
        <v>0</v>
      </c>
      <c r="J54" s="7"/>
      <c r="L54" s="7"/>
      <c r="N54" s="7"/>
      <c r="O54" s="7"/>
      <c r="P54" s="7"/>
      <c r="Q54" s="10"/>
      <c r="R54" s="34">
        <v>-2</v>
      </c>
    </row>
    <row r="55" spans="1:18" ht="25" customHeight="1">
      <c r="A55" s="15"/>
      <c r="B55" s="7">
        <v>2017</v>
      </c>
      <c r="C55" s="4" t="str">
        <f>IF($B$5="Y","Fallow",$B$3)</f>
        <v>Alfalfa</v>
      </c>
      <c r="D55" s="7" t="s">
        <v>154</v>
      </c>
      <c r="E55" s="10" t="str">
        <f t="shared" si="0"/>
        <v>Y</v>
      </c>
      <c r="F55" s="39" t="s">
        <v>186</v>
      </c>
      <c r="G55">
        <v>0</v>
      </c>
      <c r="H55" s="30" t="str">
        <f>IF($B$5="Y","FALSE","TRUE")</f>
        <v>TRUE</v>
      </c>
      <c r="I55" s="7">
        <v>0</v>
      </c>
      <c r="J55" s="4" t="str">
        <f>IF($B$5="Y","No Tillage",$B$6)</f>
        <v>Reduced Tillage</v>
      </c>
      <c r="K55" s="7" t="s">
        <v>216</v>
      </c>
      <c r="L55" s="7" t="str">
        <f t="shared" si="1"/>
        <v>Ammonium Nitrate</v>
      </c>
      <c r="M55" s="7" t="s">
        <v>246</v>
      </c>
      <c r="N55" s="4">
        <f>IF($B$5="Y",0,$B$8)</f>
        <v>100</v>
      </c>
      <c r="O55" s="7" t="s">
        <v>121</v>
      </c>
      <c r="P55" s="7" t="str">
        <f t="shared" si="2"/>
        <v>Surface Broadcast</v>
      </c>
      <c r="Q55" s="10" t="s">
        <v>1</v>
      </c>
      <c r="R55" s="4">
        <v>1</v>
      </c>
    </row>
    <row r="56" spans="1:18" ht="25" customHeight="1">
      <c r="A56" s="15"/>
      <c r="B56" s="4">
        <f>IF($B$4="None","",$B$55)</f>
        <v>2017</v>
      </c>
      <c r="C56" s="4" t="str">
        <f>IF($B$4="None","",$B$4)</f>
        <v>Clover</v>
      </c>
      <c r="D56" s="38" t="str">
        <f>(D55)</f>
        <v>"01/01/2017"</v>
      </c>
      <c r="E56" s="38" t="s">
        <v>167</v>
      </c>
      <c r="F56" s="41" t="str">
        <f>(F55)</f>
        <v>"10/01/2017"</v>
      </c>
      <c r="G56" s="36">
        <v>0</v>
      </c>
      <c r="H56" s="10" t="b">
        <v>1</v>
      </c>
      <c r="I56" s="7">
        <v>0</v>
      </c>
      <c r="K56" s="7"/>
      <c r="L56" s="7"/>
      <c r="M56" s="7"/>
      <c r="O56" s="7"/>
      <c r="P56" s="7"/>
      <c r="Q56" s="10"/>
      <c r="R56" s="34">
        <v>-2</v>
      </c>
    </row>
    <row r="57" spans="1:18" ht="25" customHeight="1">
      <c r="A57" s="15"/>
      <c r="B57" s="4">
        <v>2018</v>
      </c>
      <c r="C57" s="4" t="str">
        <f t="shared" si="3"/>
        <v>Alfalfa</v>
      </c>
      <c r="D57" s="7" t="s">
        <v>155</v>
      </c>
      <c r="E57" s="10" t="str">
        <f t="shared" si="0"/>
        <v>Y</v>
      </c>
      <c r="F57" s="39" t="s">
        <v>187</v>
      </c>
      <c r="G57">
        <v>53</v>
      </c>
      <c r="H57" s="10" t="b">
        <v>1</v>
      </c>
      <c r="I57" s="7">
        <v>0</v>
      </c>
      <c r="J57" s="7" t="s">
        <v>97</v>
      </c>
      <c r="K57" s="7" t="s">
        <v>217</v>
      </c>
      <c r="L57" s="7" t="str">
        <f t="shared" si="1"/>
        <v>Ammonium Nitrate</v>
      </c>
      <c r="M57" s="7" t="s">
        <v>247</v>
      </c>
      <c r="N57" s="7">
        <f t="shared" si="4"/>
        <v>100</v>
      </c>
      <c r="O57" s="7" t="s">
        <v>121</v>
      </c>
      <c r="P57" s="7" t="str">
        <f t="shared" si="2"/>
        <v>Surface Broadcast</v>
      </c>
      <c r="Q57" s="10" t="s">
        <v>1</v>
      </c>
      <c r="R57" s="4">
        <v>1</v>
      </c>
    </row>
    <row r="58" spans="1:18" ht="25" customHeight="1">
      <c r="A58" s="15"/>
      <c r="B58" s="4">
        <f>IF($B$4="None","",$B$57)</f>
        <v>2018</v>
      </c>
      <c r="C58" s="4" t="str">
        <f>IF($B$4="None","",$B$4)</f>
        <v>Clover</v>
      </c>
      <c r="D58" s="38" t="str">
        <f>(D57)</f>
        <v>"01/01/2018"</v>
      </c>
      <c r="E58" s="38" t="s">
        <v>167</v>
      </c>
      <c r="F58" s="41" t="str">
        <f>(F57)</f>
        <v>"10/01/2018"</v>
      </c>
      <c r="G58" s="36">
        <v>0</v>
      </c>
      <c r="H58" s="10" t="b">
        <v>1</v>
      </c>
      <c r="I58" s="7">
        <v>0</v>
      </c>
      <c r="J58" s="7"/>
      <c r="K58" s="7"/>
      <c r="L58" s="7"/>
      <c r="M58" s="7"/>
      <c r="N58" s="7"/>
      <c r="O58" s="7"/>
      <c r="P58" s="7"/>
      <c r="Q58" s="10"/>
      <c r="R58" s="34">
        <v>-2</v>
      </c>
    </row>
    <row r="59" spans="1:18" ht="25" customHeight="1">
      <c r="A59" s="15"/>
      <c r="B59" s="4">
        <v>2019</v>
      </c>
      <c r="C59" s="4" t="str">
        <f>IF($B$5="Y","Fallow",$B$3)</f>
        <v>Alfalfa</v>
      </c>
      <c r="D59" s="7" t="s">
        <v>156</v>
      </c>
      <c r="E59" s="10" t="str">
        <f t="shared" si="0"/>
        <v>Y</v>
      </c>
      <c r="F59" s="39" t="s">
        <v>188</v>
      </c>
      <c r="G59">
        <v>0</v>
      </c>
      <c r="H59" s="30" t="str">
        <f>IF($B$5="Y","FALSE","TRUE")</f>
        <v>TRUE</v>
      </c>
      <c r="I59" s="7">
        <v>0</v>
      </c>
      <c r="J59" s="4" t="str">
        <f>IF($B$5="Y","No Tillage",$B$6)</f>
        <v>Reduced Tillage</v>
      </c>
      <c r="K59" s="7" t="s">
        <v>218</v>
      </c>
      <c r="L59" s="7" t="str">
        <f t="shared" si="1"/>
        <v>Ammonium Nitrate</v>
      </c>
      <c r="M59" s="7" t="s">
        <v>248</v>
      </c>
      <c r="N59" s="4">
        <f>IF($B$5="Y",0,$B$8)</f>
        <v>100</v>
      </c>
      <c r="O59" s="7" t="s">
        <v>121</v>
      </c>
      <c r="P59" s="7" t="str">
        <f t="shared" si="2"/>
        <v>Surface Broadcast</v>
      </c>
      <c r="Q59" s="10" t="s">
        <v>1</v>
      </c>
      <c r="R59" s="4">
        <v>1</v>
      </c>
    </row>
    <row r="60" spans="1:18" ht="25" customHeight="1">
      <c r="A60" s="15"/>
      <c r="B60" s="4">
        <f>IF($B$4="None","",$B$59)</f>
        <v>2019</v>
      </c>
      <c r="C60" s="4" t="str">
        <f>IF($B$4="None","",$B$4)</f>
        <v>Clover</v>
      </c>
      <c r="D60" s="38" t="str">
        <f>(D59)</f>
        <v>"01/01/2019"</v>
      </c>
      <c r="E60" s="38" t="s">
        <v>167</v>
      </c>
      <c r="F60" s="41" t="str">
        <f>(F59)</f>
        <v>"10/01/2019"</v>
      </c>
      <c r="G60" s="36">
        <v>0</v>
      </c>
      <c r="H60" s="10" t="b">
        <v>1</v>
      </c>
      <c r="I60" s="7">
        <v>0</v>
      </c>
      <c r="J60" s="7"/>
      <c r="K60" s="7"/>
      <c r="L60" s="7"/>
      <c r="M60" s="7"/>
      <c r="N60" s="7"/>
      <c r="O60" s="7"/>
      <c r="P60" s="7"/>
      <c r="Q60" s="10"/>
      <c r="R60" s="34">
        <v>-2</v>
      </c>
    </row>
    <row r="61" spans="1:18" customFormat="1" ht="25" customHeight="1"/>
    <row r="62" spans="1:18" ht="25" customHeight="1">
      <c r="A62" s="17"/>
      <c r="D62" s="7"/>
      <c r="E62" s="10"/>
      <c r="F62" s="7"/>
      <c r="G62" s="7"/>
      <c r="H62" s="10"/>
      <c r="I62" s="7"/>
      <c r="J62" s="7"/>
      <c r="K62" s="7"/>
      <c r="L62" s="7"/>
      <c r="M62" s="7"/>
      <c r="N62" s="7"/>
      <c r="O62" s="7"/>
      <c r="P62" s="7"/>
      <c r="Q62" s="10"/>
    </row>
    <row r="63" spans="1:18" s="25" customFormat="1" ht="25" customHeight="1">
      <c r="A63" s="23" t="s">
        <v>260</v>
      </c>
      <c r="B63" s="24" t="s">
        <v>263</v>
      </c>
    </row>
    <row r="64" spans="1:18" s="11" customFormat="1" ht="25" customHeight="1">
      <c r="A64" s="16"/>
      <c r="B64" s="21" t="s">
        <v>134</v>
      </c>
      <c r="C64" s="21" t="s">
        <v>72</v>
      </c>
      <c r="D64" s="21" t="s">
        <v>73</v>
      </c>
      <c r="E64" s="21" t="s">
        <v>74</v>
      </c>
      <c r="F64" s="21" t="s">
        <v>75</v>
      </c>
      <c r="G64" s="21" t="s">
        <v>77</v>
      </c>
      <c r="H64" s="21" t="s">
        <v>76</v>
      </c>
      <c r="I64" s="21" t="s">
        <v>78</v>
      </c>
      <c r="J64" s="21" t="s">
        <v>80</v>
      </c>
      <c r="K64" s="21" t="s">
        <v>79</v>
      </c>
      <c r="L64" s="21" t="s">
        <v>82</v>
      </c>
      <c r="M64" s="21" t="s">
        <v>81</v>
      </c>
      <c r="N64" s="22" t="s">
        <v>129</v>
      </c>
      <c r="O64" s="21" t="s">
        <v>130</v>
      </c>
      <c r="P64" s="22" t="s">
        <v>128</v>
      </c>
      <c r="Q64" s="21" t="s">
        <v>133</v>
      </c>
      <c r="R64" s="21" t="s">
        <v>276</v>
      </c>
    </row>
    <row r="65" spans="1:18" ht="25" customHeight="1" outlineLevel="1">
      <c r="A65" s="26"/>
      <c r="B65" s="4">
        <v>2020</v>
      </c>
      <c r="C65" s="4" t="s">
        <v>3</v>
      </c>
      <c r="D65" s="4" t="s">
        <v>157</v>
      </c>
      <c r="E65" s="10" t="str">
        <f>IF($B$11="ALFALFA","Y",IF($B$11="CLOVER","Y",IF($B$11="Grass","Y",IF($B$11="Switchgrass","Y","N"))))</f>
        <v>N</v>
      </c>
      <c r="F65" s="4" t="s">
        <v>189</v>
      </c>
      <c r="G65">
        <v>60</v>
      </c>
      <c r="H65" s="10" t="b">
        <v>1</v>
      </c>
      <c r="I65" s="7">
        <v>0</v>
      </c>
      <c r="J65" s="7" t="str">
        <f>$B$14</f>
        <v>No Tillage</v>
      </c>
      <c r="K65" s="4" t="s">
        <v>220</v>
      </c>
      <c r="L65" s="7" t="str">
        <f>$B$15</f>
        <v>Compost</v>
      </c>
      <c r="M65" s="4" t="s">
        <v>249</v>
      </c>
      <c r="N65" s="7">
        <f>$B$16</f>
        <v>100</v>
      </c>
      <c r="O65" s="7" t="s">
        <v>121</v>
      </c>
      <c r="P65" s="7" t="str">
        <f>$B$17</f>
        <v>Surface Broadcast</v>
      </c>
      <c r="Q65" s="10" t="s">
        <v>1</v>
      </c>
      <c r="R65" s="4">
        <v>1</v>
      </c>
    </row>
    <row r="66" spans="1:18" ht="25" customHeight="1" outlineLevel="1">
      <c r="A66" s="26"/>
      <c r="B66" s="4">
        <f>(B65)</f>
        <v>2020</v>
      </c>
      <c r="C66" s="4" t="str">
        <f>IF($B$12="None","",$B$12)</f>
        <v>Clover</v>
      </c>
      <c r="D66" s="4" t="str">
        <f>(D65)</f>
        <v>"01/01/2020"</v>
      </c>
      <c r="E66" s="10" t="s">
        <v>167</v>
      </c>
      <c r="F66" s="4" t="str">
        <f>(F65)</f>
        <v>"10/01/2020"</v>
      </c>
      <c r="G66">
        <v>0</v>
      </c>
      <c r="H66" s="10" t="b">
        <v>1</v>
      </c>
      <c r="I66" s="7">
        <v>0</v>
      </c>
      <c r="J66" s="7"/>
      <c r="L66" s="7"/>
      <c r="N66" s="7"/>
      <c r="O66" s="7"/>
      <c r="P66" s="7"/>
      <c r="Q66" s="10"/>
      <c r="R66" s="34">
        <v>-2</v>
      </c>
    </row>
    <row r="67" spans="1:18" ht="25" customHeight="1" outlineLevel="1">
      <c r="A67" s="26"/>
      <c r="B67" s="4">
        <v>2021</v>
      </c>
      <c r="C67" s="4" t="str">
        <f>IF($B$13="Y","Fallow",$B$11)</f>
        <v>Barley</v>
      </c>
      <c r="D67" s="4" t="s">
        <v>158</v>
      </c>
      <c r="E67" s="10" t="str">
        <f t="shared" ref="E67:E83" si="5">IF($B$11="ALFALFA","Y",IF($B$11="CLOVER","Y",IF($B$11="Grass","Y",IF($B$11="Switchgrass","Y","N"))))</f>
        <v>N</v>
      </c>
      <c r="F67" s="4" t="s">
        <v>190</v>
      </c>
      <c r="G67">
        <v>60</v>
      </c>
      <c r="H67" s="30" t="str">
        <f>IF($B$13="Y","FALSE","TRUE")</f>
        <v>TRUE</v>
      </c>
      <c r="I67" s="7">
        <v>0</v>
      </c>
      <c r="J67" s="4" t="str">
        <f>IF($B$13="Y","No Tillage",$B$14)</f>
        <v>No Tillage</v>
      </c>
      <c r="K67" s="4" t="s">
        <v>219</v>
      </c>
      <c r="L67" s="7" t="str">
        <f t="shared" ref="L67:L83" si="6">$B$15</f>
        <v>Compost</v>
      </c>
      <c r="M67" s="4" t="s">
        <v>250</v>
      </c>
      <c r="N67" s="4">
        <f>IF($B$13="Y",0,$B$16)</f>
        <v>100</v>
      </c>
      <c r="O67" s="7" t="s">
        <v>121</v>
      </c>
      <c r="P67" s="7" t="str">
        <f t="shared" ref="P67:P83" si="7">$B$17</f>
        <v>Surface Broadcast</v>
      </c>
      <c r="Q67" s="10" t="s">
        <v>1</v>
      </c>
      <c r="R67" s="4">
        <v>1</v>
      </c>
    </row>
    <row r="68" spans="1:18" ht="25" customHeight="1" outlineLevel="1">
      <c r="A68" s="26"/>
      <c r="B68" s="4">
        <f>(B67)</f>
        <v>2021</v>
      </c>
      <c r="C68" s="4" t="str">
        <f>IF($B$12="None","",$B$12)</f>
        <v>Clover</v>
      </c>
      <c r="D68" s="4" t="str">
        <f>(D67)</f>
        <v>"01/01/2021"</v>
      </c>
      <c r="E68" s="10" t="s">
        <v>167</v>
      </c>
      <c r="F68" s="4" t="str">
        <f>(F67)</f>
        <v>"10/01/2021"</v>
      </c>
      <c r="G68">
        <v>0</v>
      </c>
      <c r="H68" s="10" t="b">
        <v>1</v>
      </c>
      <c r="I68" s="7">
        <v>0</v>
      </c>
      <c r="L68" s="7"/>
      <c r="O68" s="7"/>
      <c r="P68" s="7"/>
      <c r="Q68" s="10"/>
      <c r="R68" s="34">
        <v>-2</v>
      </c>
    </row>
    <row r="69" spans="1:18" ht="25" customHeight="1" outlineLevel="1">
      <c r="A69" s="26"/>
      <c r="B69" s="4">
        <v>2022</v>
      </c>
      <c r="C69" s="4" t="s">
        <v>3</v>
      </c>
      <c r="D69" s="4" t="s">
        <v>159</v>
      </c>
      <c r="E69" s="10" t="str">
        <f t="shared" si="5"/>
        <v>N</v>
      </c>
      <c r="F69" s="4" t="s">
        <v>191</v>
      </c>
      <c r="G69">
        <v>60</v>
      </c>
      <c r="H69" s="10" t="b">
        <v>1</v>
      </c>
      <c r="I69" s="7">
        <v>0</v>
      </c>
      <c r="J69" s="7" t="str">
        <f>$B$14</f>
        <v>No Tillage</v>
      </c>
      <c r="K69" s="4" t="s">
        <v>221</v>
      </c>
      <c r="L69" s="7" t="str">
        <f t="shared" si="6"/>
        <v>Compost</v>
      </c>
      <c r="M69" s="4" t="s">
        <v>251</v>
      </c>
      <c r="N69" s="7">
        <f>$B$16</f>
        <v>100</v>
      </c>
      <c r="O69" s="7" t="s">
        <v>121</v>
      </c>
      <c r="P69" s="7" t="str">
        <f t="shared" si="7"/>
        <v>Surface Broadcast</v>
      </c>
      <c r="Q69" s="10" t="s">
        <v>1</v>
      </c>
      <c r="R69" s="4">
        <v>1</v>
      </c>
    </row>
    <row r="70" spans="1:18" ht="25" customHeight="1" outlineLevel="1">
      <c r="A70" s="26"/>
      <c r="B70" s="4">
        <f>(B69)</f>
        <v>2022</v>
      </c>
      <c r="C70" s="4" t="str">
        <f>IF($B$12="None","",$B$12)</f>
        <v>Clover</v>
      </c>
      <c r="D70" s="4" t="str">
        <f>(D69)</f>
        <v>"01/01/2022"</v>
      </c>
      <c r="E70" s="10" t="s">
        <v>167</v>
      </c>
      <c r="F70" s="4" t="str">
        <f>(F69)</f>
        <v>"10/01/2022"</v>
      </c>
      <c r="G70">
        <v>0</v>
      </c>
      <c r="H70" s="10" t="b">
        <v>1</v>
      </c>
      <c r="I70" s="7">
        <v>0</v>
      </c>
      <c r="J70" s="7"/>
      <c r="L70" s="7"/>
      <c r="N70" s="7"/>
      <c r="O70" s="7"/>
      <c r="P70" s="7"/>
      <c r="Q70" s="10"/>
      <c r="R70" s="34">
        <v>-2</v>
      </c>
    </row>
    <row r="71" spans="1:18" ht="25" customHeight="1" outlineLevel="1">
      <c r="A71" s="26"/>
      <c r="B71" s="4">
        <v>2023</v>
      </c>
      <c r="C71" s="4" t="str">
        <f>IF($B$13="Y","Fallow",$B$11)</f>
        <v>Barley</v>
      </c>
      <c r="D71" s="4" t="s">
        <v>160</v>
      </c>
      <c r="E71" s="10" t="str">
        <f t="shared" si="5"/>
        <v>N</v>
      </c>
      <c r="F71" s="4" t="s">
        <v>192</v>
      </c>
      <c r="G71">
        <v>60</v>
      </c>
      <c r="H71" s="30" t="str">
        <f>IF($B$13="Y","FALSE","TRUE")</f>
        <v>TRUE</v>
      </c>
      <c r="I71" s="7">
        <v>0</v>
      </c>
      <c r="J71" s="4" t="str">
        <f>IF($B$13="Y","No Tillage",$B$14)</f>
        <v>No Tillage</v>
      </c>
      <c r="K71" s="4" t="s">
        <v>222</v>
      </c>
      <c r="L71" s="7" t="str">
        <f t="shared" si="6"/>
        <v>Compost</v>
      </c>
      <c r="M71" s="4" t="s">
        <v>252</v>
      </c>
      <c r="N71" s="4">
        <f>IF($B$13="Y",0,$B$16)</f>
        <v>100</v>
      </c>
      <c r="O71" s="7" t="s">
        <v>121</v>
      </c>
      <c r="P71" s="7" t="str">
        <f t="shared" si="7"/>
        <v>Surface Broadcast</v>
      </c>
      <c r="Q71" s="10" t="s">
        <v>1</v>
      </c>
      <c r="R71" s="4">
        <v>1</v>
      </c>
    </row>
    <row r="72" spans="1:18" ht="25" customHeight="1" outlineLevel="1">
      <c r="A72" s="26"/>
      <c r="B72" s="4">
        <f>(B71)</f>
        <v>2023</v>
      </c>
      <c r="C72" s="4" t="str">
        <f>IF($B$12="None","",$B$12)</f>
        <v>Clover</v>
      </c>
      <c r="D72" s="4" t="str">
        <f>(D71)</f>
        <v>"01/01/2023"</v>
      </c>
      <c r="E72" s="10" t="s">
        <v>167</v>
      </c>
      <c r="F72" s="4" t="str">
        <f>(F71)</f>
        <v>"10/01/2023"</v>
      </c>
      <c r="G72">
        <v>0</v>
      </c>
      <c r="H72" s="10" t="b">
        <v>1</v>
      </c>
      <c r="I72" s="7">
        <v>0</v>
      </c>
      <c r="L72" s="7"/>
      <c r="O72" s="7"/>
      <c r="P72" s="7"/>
      <c r="Q72" s="10"/>
      <c r="R72" s="34">
        <v>-2</v>
      </c>
    </row>
    <row r="73" spans="1:18" ht="25" customHeight="1" outlineLevel="1">
      <c r="A73" s="26"/>
      <c r="B73" s="4">
        <v>2024</v>
      </c>
      <c r="C73" s="4" t="s">
        <v>3</v>
      </c>
      <c r="D73" s="4" t="s">
        <v>161</v>
      </c>
      <c r="E73" s="10" t="str">
        <f t="shared" si="5"/>
        <v>N</v>
      </c>
      <c r="F73" s="4" t="s">
        <v>193</v>
      </c>
      <c r="G73">
        <v>60</v>
      </c>
      <c r="H73" s="10" t="b">
        <v>1</v>
      </c>
      <c r="I73" s="7">
        <v>0</v>
      </c>
      <c r="J73" s="7" t="str">
        <f>$B$14</f>
        <v>No Tillage</v>
      </c>
      <c r="K73" s="4" t="s">
        <v>223</v>
      </c>
      <c r="L73" s="7" t="str">
        <f t="shared" si="6"/>
        <v>Compost</v>
      </c>
      <c r="M73" s="4" t="s">
        <v>253</v>
      </c>
      <c r="N73" s="7">
        <f>$B$16</f>
        <v>100</v>
      </c>
      <c r="O73" s="7" t="s">
        <v>121</v>
      </c>
      <c r="P73" s="7" t="str">
        <f t="shared" si="7"/>
        <v>Surface Broadcast</v>
      </c>
      <c r="Q73" s="10" t="s">
        <v>1</v>
      </c>
      <c r="R73" s="4">
        <v>1</v>
      </c>
    </row>
    <row r="74" spans="1:18" ht="25" customHeight="1" outlineLevel="1">
      <c r="A74" s="26"/>
      <c r="B74" s="4">
        <f>(B73)</f>
        <v>2024</v>
      </c>
      <c r="C74" s="4" t="str">
        <f>IF($B$12="None","",$B$12)</f>
        <v>Clover</v>
      </c>
      <c r="D74" s="4" t="str">
        <f>(D73)</f>
        <v>"01/01/2024"</v>
      </c>
      <c r="E74" s="10" t="s">
        <v>167</v>
      </c>
      <c r="F74" s="4" t="str">
        <f>(F73)</f>
        <v>"10/01/2024"</v>
      </c>
      <c r="G74">
        <v>0</v>
      </c>
      <c r="H74" s="10" t="b">
        <v>1</v>
      </c>
      <c r="I74" s="7">
        <v>0</v>
      </c>
      <c r="J74" s="7"/>
      <c r="L74" s="7"/>
      <c r="N74" s="7"/>
      <c r="O74" s="7"/>
      <c r="P74" s="7"/>
      <c r="Q74" s="10"/>
      <c r="R74" s="34">
        <v>-2</v>
      </c>
    </row>
    <row r="75" spans="1:18" ht="25" customHeight="1" outlineLevel="1">
      <c r="A75" s="26"/>
      <c r="B75" s="4">
        <v>2025</v>
      </c>
      <c r="C75" s="4" t="str">
        <f>IF($B$13="Y","Fallow",$B$11)</f>
        <v>Barley</v>
      </c>
      <c r="D75" s="4" t="s">
        <v>162</v>
      </c>
      <c r="E75" s="10" t="str">
        <f t="shared" si="5"/>
        <v>N</v>
      </c>
      <c r="F75" s="4" t="s">
        <v>194</v>
      </c>
      <c r="G75">
        <v>60</v>
      </c>
      <c r="H75" s="30" t="str">
        <f>IF($B$13="Y","FALSE","TRUE")</f>
        <v>TRUE</v>
      </c>
      <c r="I75" s="7">
        <v>0</v>
      </c>
      <c r="J75" s="4" t="str">
        <f>IF($B$13="Y","No Tillage",$B$14)</f>
        <v>No Tillage</v>
      </c>
      <c r="K75" s="4" t="s">
        <v>224</v>
      </c>
      <c r="L75" s="7" t="str">
        <f t="shared" si="6"/>
        <v>Compost</v>
      </c>
      <c r="M75" s="4" t="s">
        <v>254</v>
      </c>
      <c r="N75" s="4">
        <f>IF($B$13="Y",0,$B$16)</f>
        <v>100</v>
      </c>
      <c r="O75" s="7" t="s">
        <v>121</v>
      </c>
      <c r="P75" s="7" t="str">
        <f t="shared" si="7"/>
        <v>Surface Broadcast</v>
      </c>
      <c r="Q75" s="10" t="s">
        <v>1</v>
      </c>
      <c r="R75" s="4">
        <v>1</v>
      </c>
    </row>
    <row r="76" spans="1:18" ht="25" customHeight="1" outlineLevel="1">
      <c r="A76" s="26"/>
      <c r="B76" s="4">
        <f>(B75)</f>
        <v>2025</v>
      </c>
      <c r="C76" s="4" t="str">
        <f>IF($B$12="None","",$B$12)</f>
        <v>Clover</v>
      </c>
      <c r="D76" s="4" t="str">
        <f>(D75)</f>
        <v>"01/01/2025"</v>
      </c>
      <c r="E76" s="10" t="s">
        <v>167</v>
      </c>
      <c r="F76" s="4" t="str">
        <f>(F75)</f>
        <v>"10/01/2025"</v>
      </c>
      <c r="G76">
        <v>0</v>
      </c>
      <c r="H76" s="10" t="b">
        <v>1</v>
      </c>
      <c r="I76" s="7">
        <v>0</v>
      </c>
      <c r="L76" s="7"/>
      <c r="O76" s="7"/>
      <c r="P76" s="7"/>
      <c r="Q76" s="10"/>
      <c r="R76" s="34">
        <v>-2</v>
      </c>
    </row>
    <row r="77" spans="1:18" ht="25" customHeight="1" outlineLevel="1">
      <c r="A77" s="26"/>
      <c r="B77" s="4">
        <v>2026</v>
      </c>
      <c r="C77" s="4" t="s">
        <v>3</v>
      </c>
      <c r="D77" s="4" t="s">
        <v>163</v>
      </c>
      <c r="E77" s="10" t="str">
        <f t="shared" si="5"/>
        <v>N</v>
      </c>
      <c r="F77" s="4" t="s">
        <v>195</v>
      </c>
      <c r="G77">
        <v>60</v>
      </c>
      <c r="H77" s="10" t="b">
        <v>1</v>
      </c>
      <c r="I77" s="7">
        <v>0</v>
      </c>
      <c r="J77" s="7" t="str">
        <f>$B$14</f>
        <v>No Tillage</v>
      </c>
      <c r="K77" s="4" t="s">
        <v>225</v>
      </c>
      <c r="L77" s="7" t="str">
        <f t="shared" si="6"/>
        <v>Compost</v>
      </c>
      <c r="M77" s="4" t="s">
        <v>255</v>
      </c>
      <c r="N77" s="7">
        <f>$B$16</f>
        <v>100</v>
      </c>
      <c r="O77" s="7" t="s">
        <v>121</v>
      </c>
      <c r="P77" s="7" t="str">
        <f t="shared" si="7"/>
        <v>Surface Broadcast</v>
      </c>
      <c r="Q77" s="10" t="s">
        <v>1</v>
      </c>
      <c r="R77" s="4">
        <v>1</v>
      </c>
    </row>
    <row r="78" spans="1:18" ht="25" customHeight="1" outlineLevel="1">
      <c r="A78" s="26"/>
      <c r="B78" s="4">
        <f>(B77)</f>
        <v>2026</v>
      </c>
      <c r="C78" s="4" t="str">
        <f>IF($B$12="None","",$B$12)</f>
        <v>Clover</v>
      </c>
      <c r="D78" s="4" t="str">
        <f>(D77)</f>
        <v>"01/01/2026"</v>
      </c>
      <c r="E78" s="10" t="s">
        <v>167</v>
      </c>
      <c r="F78" s="4" t="str">
        <f>(F77)</f>
        <v>"10/01/2026"</v>
      </c>
      <c r="G78">
        <v>0</v>
      </c>
      <c r="H78" s="10" t="b">
        <v>1</v>
      </c>
      <c r="I78" s="7">
        <v>0</v>
      </c>
      <c r="J78" s="7"/>
      <c r="L78" s="7"/>
      <c r="N78" s="7"/>
      <c r="O78" s="7"/>
      <c r="P78" s="7"/>
      <c r="Q78" s="10"/>
      <c r="R78" s="34">
        <v>-2</v>
      </c>
    </row>
    <row r="79" spans="1:18" ht="25" customHeight="1" outlineLevel="1">
      <c r="A79" s="26"/>
      <c r="B79" s="4">
        <v>2027</v>
      </c>
      <c r="C79" s="4" t="str">
        <f>IF($B$13="Y","Fallow",$B$11)</f>
        <v>Barley</v>
      </c>
      <c r="D79" s="4" t="s">
        <v>164</v>
      </c>
      <c r="E79" s="10" t="str">
        <f t="shared" si="5"/>
        <v>N</v>
      </c>
      <c r="F79" s="4" t="s">
        <v>196</v>
      </c>
      <c r="G79">
        <v>60</v>
      </c>
      <c r="H79" s="30" t="str">
        <f>IF($B$13="Y","FALSE","TRUE")</f>
        <v>TRUE</v>
      </c>
      <c r="I79" s="7">
        <v>0</v>
      </c>
      <c r="J79" s="4" t="str">
        <f>IF($B$13="Y","No Tillage",$B$14)</f>
        <v>No Tillage</v>
      </c>
      <c r="K79" s="4" t="s">
        <v>226</v>
      </c>
      <c r="L79" s="7" t="str">
        <f t="shared" si="6"/>
        <v>Compost</v>
      </c>
      <c r="M79" s="4" t="s">
        <v>256</v>
      </c>
      <c r="N79" s="4">
        <f>IF($B$13="Y",0,$B$16)</f>
        <v>100</v>
      </c>
      <c r="O79" s="7" t="s">
        <v>121</v>
      </c>
      <c r="P79" s="7" t="str">
        <f t="shared" si="7"/>
        <v>Surface Broadcast</v>
      </c>
      <c r="Q79" s="10" t="s">
        <v>1</v>
      </c>
      <c r="R79" s="4">
        <v>1</v>
      </c>
    </row>
    <row r="80" spans="1:18" ht="25" customHeight="1" outlineLevel="1">
      <c r="A80" s="26"/>
      <c r="B80" s="4">
        <f>(B79)</f>
        <v>2027</v>
      </c>
      <c r="C80" s="4" t="str">
        <f>IF($B$12="None","",$B$12)</f>
        <v>Clover</v>
      </c>
      <c r="D80" s="4" t="str">
        <f>(D79)</f>
        <v>"01/01/2027"</v>
      </c>
      <c r="E80" s="10" t="s">
        <v>167</v>
      </c>
      <c r="F80" s="4" t="str">
        <f>(F79)</f>
        <v>"10/01/2027"</v>
      </c>
      <c r="G80">
        <v>0</v>
      </c>
      <c r="H80" s="10" t="b">
        <v>1</v>
      </c>
      <c r="I80" s="7">
        <v>0</v>
      </c>
      <c r="L80" s="7"/>
      <c r="O80" s="7"/>
      <c r="P80" s="7"/>
      <c r="Q80" s="10"/>
      <c r="R80" s="34">
        <v>-2</v>
      </c>
    </row>
    <row r="81" spans="1:18" ht="25" customHeight="1" outlineLevel="1">
      <c r="A81" s="26"/>
      <c r="B81" s="4">
        <v>2028</v>
      </c>
      <c r="C81" s="4" t="s">
        <v>3</v>
      </c>
      <c r="D81" s="4" t="s">
        <v>165</v>
      </c>
      <c r="E81" s="10" t="str">
        <f t="shared" si="5"/>
        <v>N</v>
      </c>
      <c r="F81" s="4" t="s">
        <v>197</v>
      </c>
      <c r="G81">
        <v>60</v>
      </c>
      <c r="H81" s="10" t="b">
        <v>1</v>
      </c>
      <c r="I81" s="7">
        <v>0</v>
      </c>
      <c r="J81" s="7" t="str">
        <f>$B$14</f>
        <v>No Tillage</v>
      </c>
      <c r="K81" s="4" t="s">
        <v>227</v>
      </c>
      <c r="L81" s="7" t="str">
        <f t="shared" si="6"/>
        <v>Compost</v>
      </c>
      <c r="M81" s="4" t="s">
        <v>257</v>
      </c>
      <c r="N81" s="7">
        <f>$B$16</f>
        <v>100</v>
      </c>
      <c r="O81" s="7" t="s">
        <v>121</v>
      </c>
      <c r="P81" s="7" t="str">
        <f t="shared" si="7"/>
        <v>Surface Broadcast</v>
      </c>
      <c r="Q81" s="10" t="s">
        <v>1</v>
      </c>
      <c r="R81" s="4">
        <v>1</v>
      </c>
    </row>
    <row r="82" spans="1:18" ht="25" customHeight="1" outlineLevel="1">
      <c r="A82" s="26"/>
      <c r="B82" s="4">
        <f>(B81)</f>
        <v>2028</v>
      </c>
      <c r="C82" s="4" t="str">
        <f>IF($B$12="None","",$B$12)</f>
        <v>Clover</v>
      </c>
      <c r="D82" s="4" t="str">
        <f>(D81)</f>
        <v>"01/01/2028"</v>
      </c>
      <c r="E82" s="10" t="s">
        <v>167</v>
      </c>
      <c r="F82" s="4" t="str">
        <f>(F81)</f>
        <v>"10/01/2028"</v>
      </c>
      <c r="G82">
        <v>0</v>
      </c>
      <c r="H82" s="10" t="b">
        <v>1</v>
      </c>
      <c r="I82" s="7">
        <v>0</v>
      </c>
      <c r="J82" s="7"/>
      <c r="L82" s="7"/>
      <c r="N82" s="7"/>
      <c r="O82" s="7"/>
      <c r="P82" s="7"/>
      <c r="Q82" s="10"/>
      <c r="R82" s="34">
        <v>-2</v>
      </c>
    </row>
    <row r="83" spans="1:18" ht="25" customHeight="1" outlineLevel="1">
      <c r="A83" s="26"/>
      <c r="B83" s="4">
        <v>2029</v>
      </c>
      <c r="C83" s="4" t="str">
        <f>IF($B$13="Y","Fallow",$B$11)</f>
        <v>Barley</v>
      </c>
      <c r="D83" s="4" t="s">
        <v>166</v>
      </c>
      <c r="E83" s="10" t="str">
        <f t="shared" si="5"/>
        <v>N</v>
      </c>
      <c r="F83" s="4" t="s">
        <v>198</v>
      </c>
      <c r="G83">
        <v>60</v>
      </c>
      <c r="H83" s="30" t="str">
        <f>IF($B$13="Y","FALSE","TRUE")</f>
        <v>TRUE</v>
      </c>
      <c r="I83" s="7">
        <v>0</v>
      </c>
      <c r="J83" s="4" t="str">
        <f>IF($B$13="Y","No Tillage",$B$14)</f>
        <v>No Tillage</v>
      </c>
      <c r="K83" s="4" t="s">
        <v>228</v>
      </c>
      <c r="L83" s="7" t="str">
        <f t="shared" si="6"/>
        <v>Compost</v>
      </c>
      <c r="M83" s="4" t="s">
        <v>258</v>
      </c>
      <c r="N83" s="4">
        <f>IF($B$13="Y",0,$B$16)</f>
        <v>100</v>
      </c>
      <c r="O83" s="7" t="s">
        <v>121</v>
      </c>
      <c r="P83" s="7" t="str">
        <f t="shared" si="7"/>
        <v>Surface Broadcast</v>
      </c>
      <c r="Q83" s="10" t="s">
        <v>1</v>
      </c>
      <c r="R83" s="4">
        <v>1</v>
      </c>
    </row>
    <row r="84" spans="1:18" ht="25" customHeight="1" outlineLevel="1">
      <c r="A84" s="26"/>
      <c r="B84" s="4">
        <f>(B83)</f>
        <v>2029</v>
      </c>
      <c r="C84" s="4" t="str">
        <f>IF($B$12="None","",$B$12)</f>
        <v>Clover</v>
      </c>
      <c r="D84" s="4" t="str">
        <f>(D83)</f>
        <v>"01/01/2029"</v>
      </c>
      <c r="E84" s="10" t="s">
        <v>167</v>
      </c>
      <c r="F84" s="4" t="str">
        <f>(F83)</f>
        <v>"10/01/2029"</v>
      </c>
      <c r="G84">
        <v>0</v>
      </c>
      <c r="H84" s="10" t="b">
        <v>1</v>
      </c>
      <c r="I84" s="7">
        <v>0</v>
      </c>
      <c r="L84" s="7"/>
      <c r="O84" s="7"/>
      <c r="P84" s="7"/>
      <c r="Q84" s="10"/>
      <c r="R84" s="34">
        <v>-2</v>
      </c>
    </row>
    <row r="86" spans="1:18" ht="25" customHeight="1">
      <c r="A86" s="37"/>
    </row>
    <row r="88" spans="1:18" s="3" customFormat="1" ht="25" customHeight="1">
      <c r="A88" s="13" t="s">
        <v>63</v>
      </c>
      <c r="B88" s="8" t="s">
        <v>64</v>
      </c>
    </row>
    <row r="89" spans="1:18" ht="25" customHeight="1">
      <c r="A89" s="13" t="s">
        <v>67</v>
      </c>
      <c r="B89" s="7" t="s">
        <v>83</v>
      </c>
    </row>
    <row r="90" spans="1:18" ht="25" customHeight="1">
      <c r="A90" s="13" t="s">
        <v>69</v>
      </c>
      <c r="B90" s="7" t="s">
        <v>92</v>
      </c>
    </row>
    <row r="91" spans="1:18" ht="25" customHeight="1">
      <c r="A91" s="13" t="s">
        <v>68</v>
      </c>
      <c r="B91" s="7" t="s">
        <v>98</v>
      </c>
    </row>
    <row r="92" spans="1:18" ht="25" customHeight="1">
      <c r="A92" s="13" t="s">
        <v>65</v>
      </c>
      <c r="B92" s="12" t="s">
        <v>1</v>
      </c>
    </row>
    <row r="93" spans="1:18" ht="25" customHeight="1">
      <c r="A93" s="13" t="s">
        <v>122</v>
      </c>
      <c r="B93" s="12" t="s">
        <v>121</v>
      </c>
    </row>
    <row r="94" spans="1:18" ht="25" customHeight="1">
      <c r="A94" s="13" t="s">
        <v>70</v>
      </c>
      <c r="B94" s="7" t="s">
        <v>262</v>
      </c>
    </row>
    <row r="95" spans="1:18" ht="25" customHeight="1">
      <c r="A95" s="13" t="s">
        <v>71</v>
      </c>
      <c r="B95" s="7" t="s">
        <v>99</v>
      </c>
      <c r="C95"/>
    </row>
    <row r="96" spans="1:18" ht="25" customHeight="1">
      <c r="A96" s="13" t="s">
        <v>118</v>
      </c>
    </row>
    <row r="97" spans="1:1" ht="25" customHeight="1">
      <c r="A97" s="13" t="s">
        <v>66</v>
      </c>
    </row>
    <row r="98" spans="1:1" ht="25" customHeight="1">
      <c r="A98" s="13" t="s">
        <v>119</v>
      </c>
    </row>
    <row r="99" spans="1:1" ht="25" customHeight="1">
      <c r="A99" s="13" t="s">
        <v>120</v>
      </c>
    </row>
  </sheetData>
  <hyperlinks>
    <hyperlink ref="B88" r:id="rId1" xr:uid="{650DF36D-F416-3E41-A014-4E7E8C3979E2}"/>
  </hyperlinks>
  <pageMargins left="0.7" right="0.7" top="0.75" bottom="0.75" header="0.3" footer="0.3"/>
  <pageSetup orientation="portrait" r:id="rId2"/>
  <ignoredErrors>
    <ignoredError sqref="C21" unlockedFormula="1"/>
  </ignoredErrors>
  <legacyDrawing r:id="rId3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promptTitle="Choose" prompt="Make a choice" xr:uid="{C3AD2C11-A234-5E47-8591-D75A01B1DC7E}">
          <x14:formula1>
            <xm:f>yesno!$A$1:$A$2</xm:f>
          </x14:formula1>
          <xm:sqref>B92 I21:I62 Q65:Q84 Q21:Q62 I65:I84</xm:sqref>
        </x14:dataValidation>
        <x14:dataValidation type="list" allowBlank="1" showInputMessage="1" showErrorMessage="1" errorTitle="Choose a crop" error="Choose a crop" promptTitle="Crop" prompt="choose crop" xr:uid="{97E5F41B-79F3-664A-BF6C-E828031A2348}">
          <x14:formula1>
            <xm:f>crops!$A$2:$A$34</xm:f>
          </x14:formula1>
          <xm:sqref>C77 B11 D94 B3 C73 C65 C69 C81</xm:sqref>
        </x14:dataValidation>
        <x14:dataValidation type="list" allowBlank="1" showInputMessage="1" showErrorMessage="1" xr:uid="{C662B32F-7BC6-3241-AB1A-835972BD7A98}">
          <x14:formula1>
            <xm:f>'pre1980'!$A$1:$A$4</xm:f>
          </x14:formula1>
          <xm:sqref>B89</xm:sqref>
        </x14:dataValidation>
        <x14:dataValidation type="list" allowBlank="1" showInputMessage="1" showErrorMessage="1" xr:uid="{CCDB6A5C-E9F5-6245-BC32-084800935ED7}">
          <x14:formula1>
            <xm:f>'yr80'!$A$1:$A$9</xm:f>
          </x14:formula1>
          <xm:sqref>B90</xm:sqref>
        </x14:dataValidation>
        <x14:dataValidation type="list" allowBlank="1" showInputMessage="1" showErrorMessage="1" xr:uid="{A7694CF7-8399-CC4F-8262-DA676248F9C3}">
          <x14:formula1>
            <xm:f>tillage!$A:$A</xm:f>
          </x14:formula1>
          <xm:sqref>B91</xm:sqref>
        </x14:dataValidation>
        <x14:dataValidation type="list" allowBlank="1" showInputMessage="1" showErrorMessage="1" xr:uid="{820F4AB1-A385-A643-B9BE-3195C74F83D9}">
          <x14:formula1>
            <xm:f>tillagetype!$A:$A</xm:f>
          </x14:formula1>
          <xm:sqref>B14 J81:J82 J29:J30 J33:J34 J37:J38 J41:J42 J45:J46 J49:J50 J53:J54 J57:J58 J60:J62 B6 J65:J66 J77:J78 J69:J70 J73:J74 J24:J26 J21:J22</xm:sqref>
        </x14:dataValidation>
        <x14:dataValidation type="list" allowBlank="1" showInputMessage="1" showErrorMessage="1" xr:uid="{62EC0EF5-D38F-C34F-A670-E8811702E4E5}">
          <x14:formula1>
            <xm:f>napplicationtype!$A:$A</xm:f>
          </x14:formula1>
          <xm:sqref>B15 L65:L84 B7 L21:L62</xm:sqref>
        </x14:dataValidation>
        <x14:dataValidation type="list" allowBlank="1" showInputMessage="1" showErrorMessage="1" xr:uid="{4B3F0D01-0C61-A842-820D-08C228960E92}">
          <x14:formula1>
            <xm:f>napplicationmethod!$A:$A</xm:f>
          </x14:formula1>
          <xm:sqref>B17:B18 P62 B9</xm:sqref>
        </x14:dataValidation>
        <x14:dataValidation type="list" allowBlank="1" showInputMessage="1" showErrorMessage="1" xr:uid="{99E16EBF-9E61-1645-BD5E-612799654BF7}">
          <x14:formula1>
            <xm:f>eep!$A:$A</xm:f>
          </x14:formula1>
          <xm:sqref>O65:O84 O21:O62</xm:sqref>
        </x14:dataValidation>
        <x14:dataValidation type="list" allowBlank="1" showInputMessage="1" showErrorMessage="1" promptTitle="Choose" prompt="Make a choice" xr:uid="{06A2A93F-3AE0-7547-A6B8-80C32B43ECDC}">
          <x14:formula1>
            <xm:f>CRP!$A$1:$A$3</xm:f>
          </x14:formula1>
          <xm:sqref>B93</xm:sqref>
        </x14:dataValidation>
        <x14:dataValidation type="list" allowBlank="1" showInputMessage="1" showErrorMessage="1" xr:uid="{1876C627-C0B8-8143-B7E3-48E6C3FB7181}">
          <x14:formula1>
            <xm:f>binary!$A:$A</xm:f>
          </x14:formula1>
          <xm:sqref>B95</xm:sqref>
        </x14:dataValidation>
        <x14:dataValidation type="list" allowBlank="1" showInputMessage="1" showErrorMessage="1" promptTitle="Choose" prompt="Make a choice" xr:uid="{8F48DC1A-6F30-9F4D-AF45-BC62A834EB1F}">
          <x14:formula1>
            <xm:f>TF!$A$1:$A$2</xm:f>
          </x14:formula1>
          <xm:sqref>H62 H76:H78 H65:H66 H68:H70 H72:H74 H80:H82 H84</xm:sqref>
        </x14:dataValidation>
        <x14:dataValidation type="list" allowBlank="1" showInputMessage="1" showErrorMessage="1" promptTitle="Choose" prompt="Make a choice" xr:uid="{E7666449-C24D-574C-B125-F28CC372BDB7}">
          <x14:formula1>
            <xm:f>YN!$A$1:$A$2</xm:f>
          </x14:formula1>
          <xm:sqref>E62</xm:sqref>
        </x14:dataValidation>
        <x14:dataValidation type="list" allowBlank="1" showInputMessage="1" showErrorMessage="1" errorTitle="Choose a crop" error="Choose a crop" promptTitle="Cover crop" prompt="choose cover crop" xr:uid="{C30448D0-0C72-45CC-8D72-D39810425B99}">
          <x14:formula1>
            <xm:f>covercrops!$A$2:$A$34</xm:f>
          </x14:formula1>
          <xm:sqref>B4 B12</xm:sqref>
        </x14:dataValidation>
        <x14:dataValidation type="list" allowBlank="1" showInputMessage="1" showErrorMessage="1" errorTitle="Choose a crop" error="Choose a crop" promptTitle="Rotate fallow" prompt="Choose whether field is left fallow every other year (starting after first crop rotation)" xr:uid="{3FA69AFF-EF9A-4B56-AB5B-930242C70D53}">
          <x14:formula1>
            <xm:f>YN!$A$1:$A$2</xm:f>
          </x14:formula1>
          <xm:sqref>B5 B13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4B9D2-9681-884A-A06D-234A743A182D}">
  <sheetPr codeName="Sheet15"/>
  <dimension ref="A1:A2"/>
  <sheetViews>
    <sheetView workbookViewId="0">
      <selection activeCell="A2" sqref="A1:A2"/>
    </sheetView>
  </sheetViews>
  <sheetFormatPr baseColWidth="10" defaultColWidth="11.5" defaultRowHeight="15"/>
  <sheetData>
    <row r="1" spans="1:1">
      <c r="A1" t="s">
        <v>168</v>
      </c>
    </row>
    <row r="2" spans="1:1">
      <c r="A2" t="s">
        <v>167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D2F5-09C0-5D41-B791-F567343A980B}">
  <sheetPr codeName="Sheet2"/>
  <dimension ref="A1:A3"/>
  <sheetViews>
    <sheetView workbookViewId="0"/>
  </sheetViews>
  <sheetFormatPr baseColWidth="10" defaultColWidth="11.5" defaultRowHeight="15"/>
  <sheetData>
    <row r="1" spans="1:1">
      <c r="A1" s="9" t="s">
        <v>121</v>
      </c>
    </row>
    <row r="2" spans="1:1">
      <c r="A2" s="9" t="s">
        <v>131</v>
      </c>
    </row>
    <row r="3" spans="1:1">
      <c r="A3" s="9" t="s">
        <v>132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F609B-1F57-E245-805C-345CE448249A}">
  <sheetPr codeName="Sheet3"/>
  <dimension ref="A1:A4"/>
  <sheetViews>
    <sheetView workbookViewId="0"/>
  </sheetViews>
  <sheetFormatPr baseColWidth="10" defaultColWidth="10.83203125" defaultRowHeight="15"/>
  <cols>
    <col min="1" max="1" width="26.6640625" style="2" bestFit="1" customWidth="1"/>
    <col min="2" max="16384" width="10.83203125" style="2"/>
  </cols>
  <sheetData>
    <row r="1" spans="1:1">
      <c r="A1" s="6" t="s">
        <v>83</v>
      </c>
    </row>
    <row r="2" spans="1:1">
      <c r="A2" s="6" t="s">
        <v>84</v>
      </c>
    </row>
    <row r="3" spans="1:1">
      <c r="A3" s="6" t="s">
        <v>85</v>
      </c>
    </row>
    <row r="4" spans="1:1">
      <c r="A4" s="6" t="s">
        <v>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D712-AC41-924C-A9AE-3E51B7EDF505}">
  <sheetPr codeName="Sheet4"/>
  <dimension ref="A1:A9"/>
  <sheetViews>
    <sheetView workbookViewId="0">
      <selection activeCell="A2" sqref="A1:A9"/>
    </sheetView>
  </sheetViews>
  <sheetFormatPr baseColWidth="10" defaultColWidth="11.5" defaultRowHeight="15"/>
  <sheetData>
    <row r="1" spans="1:1">
      <c r="A1" s="6" t="s">
        <v>87</v>
      </c>
    </row>
    <row r="2" spans="1:1">
      <c r="A2" s="6" t="s">
        <v>90</v>
      </c>
    </row>
    <row r="3" spans="1:1">
      <c r="A3" s="6" t="s">
        <v>88</v>
      </c>
    </row>
    <row r="4" spans="1:1">
      <c r="A4" s="6" t="s">
        <v>89</v>
      </c>
    </row>
    <row r="5" spans="1:1">
      <c r="A5" s="6" t="s">
        <v>91</v>
      </c>
    </row>
    <row r="6" spans="1:1">
      <c r="A6" s="6" t="s">
        <v>92</v>
      </c>
    </row>
    <row r="7" spans="1:1">
      <c r="A7" s="6" t="s">
        <v>93</v>
      </c>
    </row>
    <row r="8" spans="1:1">
      <c r="A8" s="6" t="s">
        <v>94</v>
      </c>
    </row>
    <row r="9" spans="1:1">
      <c r="A9" s="6" t="s">
        <v>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A19AE-C34D-9342-969B-07301959E3E1}">
  <sheetPr codeName="Sheet5"/>
  <dimension ref="A1:A3"/>
  <sheetViews>
    <sheetView workbookViewId="0">
      <selection activeCell="A3" sqref="A3"/>
    </sheetView>
  </sheetViews>
  <sheetFormatPr baseColWidth="10" defaultColWidth="11.5" defaultRowHeight="15"/>
  <sheetData>
    <row r="1" spans="1:1">
      <c r="A1" t="s">
        <v>0</v>
      </c>
    </row>
    <row r="2" spans="1:1">
      <c r="A2" t="s">
        <v>1</v>
      </c>
    </row>
    <row r="3" spans="1:1">
      <c r="A3" s="5" t="s">
        <v>121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3F5CA-9031-6442-8BE3-8F7DE6802028}">
  <sheetPr codeName="Sheet6"/>
  <dimension ref="A1:B34"/>
  <sheetViews>
    <sheetView topLeftCell="A2" workbookViewId="0">
      <selection activeCell="B36" sqref="B36"/>
    </sheetView>
  </sheetViews>
  <sheetFormatPr baseColWidth="10" defaultColWidth="11.5" defaultRowHeight="15"/>
  <cols>
    <col min="1" max="1" width="17.5" bestFit="1" customWidth="1"/>
  </cols>
  <sheetData>
    <row r="1" spans="1:2">
      <c r="A1" s="1" t="s">
        <v>36</v>
      </c>
      <c r="B1" s="1" t="s">
        <v>35</v>
      </c>
    </row>
    <row r="2" spans="1:2">
      <c r="A2" t="s">
        <v>2</v>
      </c>
      <c r="B2" t="s">
        <v>37</v>
      </c>
    </row>
    <row r="3" spans="1:2">
      <c r="A3" t="s">
        <v>3</v>
      </c>
      <c r="B3" t="s">
        <v>38</v>
      </c>
    </row>
    <row r="4" spans="1:2">
      <c r="A4" t="s">
        <v>4</v>
      </c>
      <c r="B4" t="s">
        <v>39</v>
      </c>
    </row>
    <row r="5" spans="1:2">
      <c r="A5" t="s">
        <v>5</v>
      </c>
      <c r="B5" t="s">
        <v>39</v>
      </c>
    </row>
    <row r="6" spans="1:2">
      <c r="A6" t="s">
        <v>6</v>
      </c>
      <c r="B6" t="s">
        <v>38</v>
      </c>
    </row>
    <row r="7" spans="1:2">
      <c r="A7" t="s">
        <v>7</v>
      </c>
      <c r="B7" t="s">
        <v>37</v>
      </c>
    </row>
    <row r="8" spans="1:2">
      <c r="A8" t="s">
        <v>8</v>
      </c>
      <c r="B8" t="s">
        <v>38</v>
      </c>
    </row>
    <row r="9" spans="1:2">
      <c r="A9" t="s">
        <v>9</v>
      </c>
      <c r="B9" t="s">
        <v>37</v>
      </c>
    </row>
    <row r="10" spans="1:2">
      <c r="A10" t="s">
        <v>10</v>
      </c>
      <c r="B10" t="s">
        <v>40</v>
      </c>
    </row>
    <row r="11" spans="1:2">
      <c r="A11" t="s">
        <v>11</v>
      </c>
      <c r="B11" t="s">
        <v>39</v>
      </c>
    </row>
    <row r="12" spans="1:2">
      <c r="A12" t="s">
        <v>12</v>
      </c>
      <c r="B12" t="s">
        <v>38</v>
      </c>
    </row>
    <row r="13" spans="1:2">
      <c r="A13" t="s">
        <v>13</v>
      </c>
      <c r="B13" t="s">
        <v>37</v>
      </c>
    </row>
    <row r="14" spans="1:2">
      <c r="A14" t="s">
        <v>14</v>
      </c>
      <c r="B14" t="s">
        <v>37</v>
      </c>
    </row>
    <row r="15" spans="1:2">
      <c r="A15" t="s">
        <v>15</v>
      </c>
      <c r="B15" t="s">
        <v>39</v>
      </c>
    </row>
    <row r="16" spans="1:2">
      <c r="A16" t="s">
        <v>16</v>
      </c>
      <c r="B16" t="s">
        <v>39</v>
      </c>
    </row>
    <row r="17" spans="1:2">
      <c r="A17" t="s">
        <v>17</v>
      </c>
      <c r="B17" t="s">
        <v>39</v>
      </c>
    </row>
    <row r="18" spans="1:2">
      <c r="A18" t="s">
        <v>18</v>
      </c>
      <c r="B18" t="s">
        <v>38</v>
      </c>
    </row>
    <row r="19" spans="1:2">
      <c r="A19" t="s">
        <v>19</v>
      </c>
      <c r="B19" t="s">
        <v>38</v>
      </c>
    </row>
    <row r="20" spans="1:2">
      <c r="A20" t="s">
        <v>20</v>
      </c>
      <c r="B20" t="s">
        <v>40</v>
      </c>
    </row>
    <row r="21" spans="1:2">
      <c r="A21" t="s">
        <v>21</v>
      </c>
      <c r="B21" t="s">
        <v>39</v>
      </c>
    </row>
    <row r="22" spans="1:2">
      <c r="A22" t="s">
        <v>22</v>
      </c>
      <c r="B22" t="s">
        <v>39</v>
      </c>
    </row>
    <row r="23" spans="1:2">
      <c r="A23" t="s">
        <v>23</v>
      </c>
      <c r="B23" t="s">
        <v>38</v>
      </c>
    </row>
    <row r="24" spans="1:2">
      <c r="A24" t="s">
        <v>24</v>
      </c>
      <c r="B24" t="s">
        <v>38</v>
      </c>
    </row>
    <row r="25" spans="1:2">
      <c r="A25" t="s">
        <v>25</v>
      </c>
      <c r="B25" t="s">
        <v>38</v>
      </c>
    </row>
    <row r="26" spans="1:2">
      <c r="A26" t="s">
        <v>26</v>
      </c>
      <c r="B26" t="s">
        <v>38</v>
      </c>
    </row>
    <row r="27" spans="1:2">
      <c r="A27" t="s">
        <v>27</v>
      </c>
      <c r="B27" t="s">
        <v>38</v>
      </c>
    </row>
    <row r="28" spans="1:2">
      <c r="A28" t="s">
        <v>28</v>
      </c>
      <c r="B28" t="s">
        <v>39</v>
      </c>
    </row>
    <row r="29" spans="1:2">
      <c r="A29" t="s">
        <v>29</v>
      </c>
      <c r="B29" t="s">
        <v>37</v>
      </c>
    </row>
    <row r="30" spans="1:2">
      <c r="A30" t="s">
        <v>30</v>
      </c>
      <c r="B30" t="s">
        <v>40</v>
      </c>
    </row>
    <row r="31" spans="1:2">
      <c r="A31" t="s">
        <v>31</v>
      </c>
      <c r="B31" t="s">
        <v>37</v>
      </c>
    </row>
    <row r="32" spans="1:2">
      <c r="A32" t="s">
        <v>32</v>
      </c>
      <c r="B32" t="s">
        <v>39</v>
      </c>
    </row>
    <row r="33" spans="1:2">
      <c r="A33" t="s">
        <v>33</v>
      </c>
      <c r="B33" t="s">
        <v>37</v>
      </c>
    </row>
    <row r="34" spans="1:2">
      <c r="A34" t="s">
        <v>34</v>
      </c>
      <c r="B34" t="s">
        <v>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27384-76BF-B542-A9B2-05B92B0EBBB8}">
  <sheetPr codeName="Sheet7"/>
  <dimension ref="A1:B15"/>
  <sheetViews>
    <sheetView topLeftCell="A2" workbookViewId="0">
      <selection activeCell="E7" sqref="E7"/>
    </sheetView>
  </sheetViews>
  <sheetFormatPr baseColWidth="10" defaultColWidth="11.5" defaultRowHeight="15"/>
  <cols>
    <col min="1" max="1" width="23" bestFit="1" customWidth="1"/>
  </cols>
  <sheetData>
    <row r="1" spans="1:2">
      <c r="A1" s="1" t="s">
        <v>41</v>
      </c>
      <c r="B1" s="1" t="s">
        <v>35</v>
      </c>
    </row>
    <row r="2" spans="1:2">
      <c r="A2" t="s">
        <v>121</v>
      </c>
      <c r="B2" t="s">
        <v>271</v>
      </c>
    </row>
    <row r="3" spans="1:2">
      <c r="A3" t="s">
        <v>42</v>
      </c>
      <c r="B3" t="s">
        <v>37</v>
      </c>
    </row>
    <row r="4" spans="1:2">
      <c r="A4" t="s">
        <v>42</v>
      </c>
      <c r="B4" t="s">
        <v>37</v>
      </c>
    </row>
    <row r="5" spans="1:2">
      <c r="A5" t="s">
        <v>43</v>
      </c>
      <c r="B5" t="s">
        <v>37</v>
      </c>
    </row>
    <row r="6" spans="1:2">
      <c r="A6" t="s">
        <v>44</v>
      </c>
      <c r="B6" t="s">
        <v>37</v>
      </c>
    </row>
    <row r="7" spans="1:2">
      <c r="A7" t="s">
        <v>7</v>
      </c>
      <c r="B7" t="s">
        <v>37</v>
      </c>
    </row>
    <row r="8" spans="1:2">
      <c r="A8" t="s">
        <v>8</v>
      </c>
      <c r="B8" t="s">
        <v>37</v>
      </c>
    </row>
    <row r="9" spans="1:2">
      <c r="A9" t="s">
        <v>45</v>
      </c>
      <c r="B9" t="s">
        <v>37</v>
      </c>
    </row>
    <row r="10" spans="1:2">
      <c r="A10" t="s">
        <v>18</v>
      </c>
      <c r="B10" t="s">
        <v>37</v>
      </c>
    </row>
    <row r="11" spans="1:2">
      <c r="A11" t="s">
        <v>46</v>
      </c>
      <c r="B11" t="s">
        <v>37</v>
      </c>
    </row>
    <row r="12" spans="1:2">
      <c r="A12" t="s">
        <v>47</v>
      </c>
      <c r="B12" t="s">
        <v>37</v>
      </c>
    </row>
    <row r="13" spans="1:2">
      <c r="A13" t="s">
        <v>24</v>
      </c>
      <c r="B13" t="s">
        <v>37</v>
      </c>
    </row>
    <row r="14" spans="1:2">
      <c r="A14" t="s">
        <v>48</v>
      </c>
      <c r="B14" t="s">
        <v>37</v>
      </c>
    </row>
    <row r="15" spans="1:2">
      <c r="A15" t="s">
        <v>34</v>
      </c>
      <c r="B15" t="s">
        <v>37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A86C-720F-E54A-B3B0-93F1CA124C2E}">
  <sheetPr codeName="Sheet8"/>
  <dimension ref="A1:B14"/>
  <sheetViews>
    <sheetView workbookViewId="0">
      <selection sqref="A1:B14"/>
    </sheetView>
  </sheetViews>
  <sheetFormatPr baseColWidth="10" defaultColWidth="11.5" defaultRowHeight="15"/>
  <cols>
    <col min="1" max="1" width="24.5" bestFit="1" customWidth="1"/>
  </cols>
  <sheetData>
    <row r="1" spans="1:2">
      <c r="A1" s="1" t="s">
        <v>49</v>
      </c>
      <c r="B1" s="1" t="s">
        <v>35</v>
      </c>
    </row>
    <row r="2" spans="1:2">
      <c r="A2" t="s">
        <v>50</v>
      </c>
    </row>
    <row r="3" spans="1:2">
      <c r="A3" t="s">
        <v>51</v>
      </c>
    </row>
    <row r="4" spans="1:2">
      <c r="A4" t="s">
        <v>52</v>
      </c>
    </row>
    <row r="5" spans="1:2">
      <c r="A5" t="s">
        <v>53</v>
      </c>
    </row>
    <row r="6" spans="1:2">
      <c r="A6" t="s">
        <v>54</v>
      </c>
    </row>
    <row r="7" spans="1:2">
      <c r="A7" t="s">
        <v>55</v>
      </c>
    </row>
    <row r="8" spans="1:2">
      <c r="A8" t="s">
        <v>56</v>
      </c>
    </row>
    <row r="9" spans="1:2">
      <c r="A9" t="s">
        <v>57</v>
      </c>
    </row>
    <row r="10" spans="1:2">
      <c r="A10" t="s">
        <v>58</v>
      </c>
    </row>
    <row r="11" spans="1:2">
      <c r="A11" t="s">
        <v>59</v>
      </c>
    </row>
    <row r="12" spans="1:2">
      <c r="A12" t="s">
        <v>60</v>
      </c>
    </row>
    <row r="13" spans="1:2">
      <c r="A13" t="s">
        <v>61</v>
      </c>
    </row>
    <row r="14" spans="1:2">
      <c r="A14" t="s">
        <v>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A7B87-79B2-534A-945E-D61302BCD4A9}">
  <sheetPr codeName="Sheet16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b">
        <v>1</v>
      </c>
    </row>
    <row r="2" spans="1:1">
      <c r="A2" t="b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D3F6A-7E39-6C4F-A01B-DC7DE0459EB8}">
  <sheetPr codeName="Sheet9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s">
        <v>99</v>
      </c>
    </row>
    <row r="2" spans="1:1">
      <c r="A2" t="s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3703A-3DA3-1343-819D-167B46A84488}">
  <sheetPr codeName="Sheet10"/>
  <dimension ref="A1:A10"/>
  <sheetViews>
    <sheetView workbookViewId="0">
      <selection activeCell="B13" sqref="B13"/>
    </sheetView>
  </sheetViews>
  <sheetFormatPr baseColWidth="10" defaultColWidth="10.83203125" defaultRowHeight="15"/>
  <cols>
    <col min="1" max="16384" width="10.83203125" style="2"/>
  </cols>
  <sheetData>
    <row r="1" spans="1:1">
      <c r="A1" s="6" t="s">
        <v>96</v>
      </c>
    </row>
    <row r="2" spans="1:1">
      <c r="A2" s="6" t="s">
        <v>97</v>
      </c>
    </row>
    <row r="3" spans="1:1">
      <c r="A3" s="6" t="s">
        <v>104</v>
      </c>
    </row>
    <row r="4" spans="1:1">
      <c r="A4" s="6" t="s">
        <v>105</v>
      </c>
    </row>
    <row r="5" spans="1:1">
      <c r="A5" s="6" t="s">
        <v>106</v>
      </c>
    </row>
    <row r="6" spans="1:1">
      <c r="A6" s="6" t="s">
        <v>107</v>
      </c>
    </row>
    <row r="7" spans="1:1">
      <c r="A7" s="6" t="s">
        <v>108</v>
      </c>
    </row>
    <row r="8" spans="1:1">
      <c r="A8" s="6" t="s">
        <v>103</v>
      </c>
    </row>
    <row r="9" spans="1:1">
      <c r="A9" s="6" t="s">
        <v>102</v>
      </c>
    </row>
    <row r="10" spans="1:1">
      <c r="A10" s="6" t="s">
        <v>101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64B03-164D-154C-8A71-3191222F40FA}">
  <sheetPr codeName="Sheet11"/>
  <dimension ref="A1:A9"/>
  <sheetViews>
    <sheetView workbookViewId="0">
      <selection activeCell="K48" sqref="K48"/>
    </sheetView>
  </sheetViews>
  <sheetFormatPr baseColWidth="10" defaultColWidth="10.83203125" defaultRowHeight="15"/>
  <cols>
    <col min="1" max="1" width="23.83203125" style="2" bestFit="1" customWidth="1"/>
    <col min="2" max="16384" width="10.83203125" style="2"/>
  </cols>
  <sheetData>
    <row r="1" spans="1:1">
      <c r="A1" s="6" t="s">
        <v>109</v>
      </c>
    </row>
    <row r="2" spans="1:1">
      <c r="A2" s="6" t="s">
        <v>110</v>
      </c>
    </row>
    <row r="3" spans="1:1">
      <c r="A3" s="6" t="s">
        <v>111</v>
      </c>
    </row>
    <row r="4" spans="1:1">
      <c r="A4" s="6" t="s">
        <v>112</v>
      </c>
    </row>
    <row r="5" spans="1:1">
      <c r="A5" s="6" t="s">
        <v>113</v>
      </c>
    </row>
    <row r="6" spans="1:1">
      <c r="A6" s="6" t="s">
        <v>114</v>
      </c>
    </row>
    <row r="7" spans="1:1">
      <c r="A7" s="6" t="s">
        <v>115</v>
      </c>
    </row>
    <row r="8" spans="1:1">
      <c r="A8" s="6" t="s">
        <v>116</v>
      </c>
    </row>
    <row r="9" spans="1:1">
      <c r="A9" s="6" t="s">
        <v>117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C9515-4904-A94F-84AB-7579174EE5B8}">
  <sheetPr codeName="Sheet12"/>
  <dimension ref="A1:A5"/>
  <sheetViews>
    <sheetView workbookViewId="0">
      <selection activeCell="A9" sqref="A9"/>
    </sheetView>
  </sheetViews>
  <sheetFormatPr baseColWidth="10" defaultColWidth="11.5" defaultRowHeight="15"/>
  <sheetData>
    <row r="1" spans="1:1">
      <c r="A1" s="9" t="s">
        <v>123</v>
      </c>
    </row>
    <row r="2" spans="1:1">
      <c r="A2" s="9" t="s">
        <v>124</v>
      </c>
    </row>
    <row r="3" spans="1:1">
      <c r="A3" s="9" t="s">
        <v>125</v>
      </c>
    </row>
    <row r="4" spans="1:1">
      <c r="A4" s="9" t="s">
        <v>126</v>
      </c>
    </row>
    <row r="5" spans="1:1">
      <c r="A5" s="9" t="s">
        <v>127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820C7-4691-BF4C-99FC-BAF63356F37A}">
  <sheetPr codeName="Sheet13"/>
  <dimension ref="A1:A3"/>
  <sheetViews>
    <sheetView workbookViewId="0">
      <selection activeCell="A4" sqref="A4"/>
    </sheetView>
  </sheetViews>
  <sheetFormatPr baseColWidth="10" defaultColWidth="10.83203125" defaultRowHeight="15"/>
  <cols>
    <col min="1" max="16384" width="10.83203125" style="2"/>
  </cols>
  <sheetData>
    <row r="1" spans="1:1">
      <c r="A1" s="6" t="s">
        <v>96</v>
      </c>
    </row>
    <row r="2" spans="1:1">
      <c r="A2" s="6" t="s">
        <v>97</v>
      </c>
    </row>
    <row r="3" spans="1:1">
      <c r="A3" s="6" t="s">
        <v>98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6A43D-C66D-794A-B955-261E54B68E02}">
  <sheetPr codeName="Sheet14"/>
  <dimension ref="A1:A3"/>
  <sheetViews>
    <sheetView workbookViewId="0">
      <selection activeCell="A4" sqref="A4"/>
    </sheetView>
  </sheetViews>
  <sheetFormatPr baseColWidth="10" defaultColWidth="11.5" defaultRowHeight="15"/>
  <sheetData>
    <row r="1" spans="1:1">
      <c r="A1" t="s">
        <v>135</v>
      </c>
    </row>
    <row r="2" spans="1:1">
      <c r="A2" t="s">
        <v>136</v>
      </c>
    </row>
    <row r="3" spans="1:1">
      <c r="A3" t="s">
        <v>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scenario</vt:lpstr>
      <vt:lpstr>YN</vt:lpstr>
      <vt:lpstr>eep</vt:lpstr>
      <vt:lpstr>pre1980</vt:lpstr>
      <vt:lpstr>yr80</vt:lpstr>
      <vt:lpstr>yesno</vt:lpstr>
      <vt:lpstr>crops</vt:lpstr>
      <vt:lpstr>covercrops</vt:lpstr>
      <vt:lpstr>treesvines</vt:lpstr>
      <vt:lpstr>TF</vt:lpstr>
      <vt:lpstr>binary</vt:lpstr>
      <vt:lpstr>tillagetype</vt:lpstr>
      <vt:lpstr>napplicationtype</vt:lpstr>
      <vt:lpstr>napplicationmethod</vt:lpstr>
      <vt:lpstr>tillage</vt:lpstr>
      <vt:lpstr>CRP</vt:lpstr>
      <vt:lpstr>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2019-05-13T23:24:51Z</dcterms:created>
  <dcterms:modified xsi:type="dcterms:W3CDTF">2020-06-10T23:39:18Z</dcterms:modified>
</cp:coreProperties>
</file>